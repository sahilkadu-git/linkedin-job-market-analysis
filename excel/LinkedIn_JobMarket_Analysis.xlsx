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0B4E875-3828-4F1F-838A-9714846F84C8}" xr6:coauthVersionLast="47" xr6:coauthVersionMax="47" xr10:uidLastSave="{00000000-0000-0000-0000-000000000000}"/>
  <bookViews>
    <workbookView xWindow="-110" yWindow="-110" windowWidth="19420" windowHeight="10300" tabRatio="500" firstSheet="5" activeTab="7" xr2:uid="{00000000-000D-0000-FFFF-FFFF00000000}"/>
  </bookViews>
  <sheets>
    <sheet name="Executive Summary" sheetId="1" r:id="rId1"/>
    <sheet name="Competition Analysis" sheetId="2" r:id="rId2"/>
    <sheet name="Data_Q7" sheetId="3" r:id="rId3"/>
    <sheet name="Data_Q6" sheetId="4" r:id="rId4"/>
    <sheet name="Data_Q8" sheetId="5" r:id="rId5"/>
    <sheet name="Opportunity Map" sheetId="6" r:id="rId6"/>
    <sheet name="Domain Analysis" sheetId="7" r:id="rId7"/>
    <sheet name="Domain Lookup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8" l="1"/>
  <c r="B12" i="8"/>
  <c r="B11" i="8"/>
  <c r="B10" i="8"/>
  <c r="B9" i="8"/>
  <c r="B8" i="8"/>
  <c r="B7" i="8"/>
  <c r="B6" i="8"/>
</calcChain>
</file>

<file path=xl/sharedStrings.xml><?xml version="1.0" encoding="utf-8"?>
<sst xmlns="http://schemas.openxmlformats.org/spreadsheetml/2006/main" count="427" uniqueCount="140">
  <si>
    <t>LinkedIn Job Market Analysis — Key Metrics</t>
  </si>
  <si>
    <t>Metric</t>
  </si>
  <si>
    <t>Value</t>
  </si>
  <si>
    <t>Source</t>
  </si>
  <si>
    <t>Total Jobs Analysed</t>
  </si>
  <si>
    <t>5,000</t>
  </si>
  <si>
    <t>All Queries</t>
  </si>
  <si>
    <t>Top Domain by Volume</t>
  </si>
  <si>
    <t>Information Technology (11.2%)</t>
  </si>
  <si>
    <t>Q1</t>
  </si>
  <si>
    <t>2nd Largest Domain</t>
  </si>
  <si>
    <t>Sales (10.8%)</t>
  </si>
  <si>
    <t>Analytics Domain Share</t>
  </si>
  <si>
    <t>1.8% of market</t>
  </si>
  <si>
    <t>Highest Paying Domain</t>
  </si>
  <si>
    <t>Legal — $100,487 avg</t>
  </si>
  <si>
    <t>Q6</t>
  </si>
  <si>
    <t>2nd Highest Paying</t>
  </si>
  <si>
    <t>Accounting — $47,789</t>
  </si>
  <si>
    <t>Lowest Paying Domain</t>
  </si>
  <si>
    <t>Manufacturing — $14,002</t>
  </si>
  <si>
    <t>Salary Gap (Legal vs Mfg)</t>
  </si>
  <si>
    <t>618% difference</t>
  </si>
  <si>
    <t>Analytics Avg Salary</t>
  </si>
  <si>
    <t>$32,110</t>
  </si>
  <si>
    <t>Full-time % of Market</t>
  </si>
  <si>
    <t>78.8%</t>
  </si>
  <si>
    <t>Q2</t>
  </si>
  <si>
    <t>Contract Avg Applicants</t>
  </si>
  <si>
    <t>8.9 per posting</t>
  </si>
  <si>
    <t>Full-time Avg Applicants</t>
  </si>
  <si>
    <t>2.4 per posting</t>
  </si>
  <si>
    <t>Part-time Avg Salary</t>
  </si>
  <si>
    <t>$14,331</t>
  </si>
  <si>
    <t>Entry Level Avg Salary</t>
  </si>
  <si>
    <t>$15,788</t>
  </si>
  <si>
    <t>Q3</t>
  </si>
  <si>
    <t>Associate Level Avg Salary</t>
  </si>
  <si>
    <t>$37,638</t>
  </si>
  <si>
    <t>Mid-Senior Avg Salary</t>
  </si>
  <si>
    <t>$30,045</t>
  </si>
  <si>
    <t>Director Avg Salary</t>
  </si>
  <si>
    <t>$68,759</t>
  </si>
  <si>
    <t>Top City by Job Count</t>
  </si>
  <si>
    <t>New York, NY — 107 jobs</t>
  </si>
  <si>
    <t>Q4</t>
  </si>
  <si>
    <t>Highest Paying City</t>
  </si>
  <si>
    <t>Seattle, WA — $76,697</t>
  </si>
  <si>
    <t>Lowest Paying Major City</t>
  </si>
  <si>
    <t>Houston, TX — $20,733</t>
  </si>
  <si>
    <t>Best Opportunity Domain</t>
  </si>
  <si>
    <t>Health Care Provider (Score: 21,373)</t>
  </si>
  <si>
    <t>Q8</t>
  </si>
  <si>
    <t>2nd Best Opportunity</t>
  </si>
  <si>
    <t>Legal (Score: 19,331)</t>
  </si>
  <si>
    <t>Worst Opportunity</t>
  </si>
  <si>
    <t>Supply Chain (Score: 738)</t>
  </si>
  <si>
    <t>Highest Competition</t>
  </si>
  <si>
    <t>Supply Chain — 43.8 applicants/job</t>
  </si>
  <si>
    <t>Q7</t>
  </si>
  <si>
    <t>Domain Competition Analysis — Applicants per Job Posting</t>
  </si>
  <si>
    <t>Domain</t>
  </si>
  <si>
    <t>Job Count</t>
  </si>
  <si>
    <t>Avg Applicants</t>
  </si>
  <si>
    <t>Avg Views</t>
  </si>
  <si>
    <t>Apply Rate %</t>
  </si>
  <si>
    <t>Competition Level</t>
  </si>
  <si>
    <t>Supply Chain</t>
  </si>
  <si>
    <t>Very High</t>
  </si>
  <si>
    <t>Writing/Editing</t>
  </si>
  <si>
    <t>Public Relations</t>
  </si>
  <si>
    <t>Information Technology</t>
  </si>
  <si>
    <t>High</t>
  </si>
  <si>
    <t>Engineering</t>
  </si>
  <si>
    <t>Project Management</t>
  </si>
  <si>
    <t>Analyst</t>
  </si>
  <si>
    <t>Strategy/Planning</t>
  </si>
  <si>
    <t>Marketing</t>
  </si>
  <si>
    <t>Research</t>
  </si>
  <si>
    <t>Product Management</t>
  </si>
  <si>
    <t>Consulting</t>
  </si>
  <si>
    <t>Sales</t>
  </si>
  <si>
    <t>Human Resources</t>
  </si>
  <si>
    <t>Business Development</t>
  </si>
  <si>
    <t>Medium</t>
  </si>
  <si>
    <t>Art/Creative</t>
  </si>
  <si>
    <t>Design</t>
  </si>
  <si>
    <t>Administrative</t>
  </si>
  <si>
    <t>Quality Assurance</t>
  </si>
  <si>
    <t>Management</t>
  </si>
  <si>
    <t>Training</t>
  </si>
  <si>
    <t>Manufacturing</t>
  </si>
  <si>
    <t>Low</t>
  </si>
  <si>
    <t>Other</t>
  </si>
  <si>
    <t>Finance</t>
  </si>
  <si>
    <t>Legal</t>
  </si>
  <si>
    <t>Production</t>
  </si>
  <si>
    <t>Accounting/Auditing</t>
  </si>
  <si>
    <t>Science</t>
  </si>
  <si>
    <t>General Business</t>
  </si>
  <si>
    <t>Customer Service</t>
  </si>
  <si>
    <t>Advertising</t>
  </si>
  <si>
    <t>Health Care Provider</t>
  </si>
  <si>
    <t>Education</t>
  </si>
  <si>
    <t>Key Finding: Supply Chain attracts 43.8 applicants/posting — highest in the market — yet pays only $21,457 avg.
Legal &amp; Finance have the best ratio: 4.2/4.3 applicants with $100,487/$49,105 salary.</t>
  </si>
  <si>
    <t>domain</t>
  </si>
  <si>
    <t>job_count</t>
  </si>
  <si>
    <t>avg_applicants</t>
  </si>
  <si>
    <t>avg_views</t>
  </si>
  <si>
    <t>apply_rate_pct</t>
  </si>
  <si>
    <t>avg_salary</t>
  </si>
  <si>
    <t>max_salary</t>
  </si>
  <si>
    <t>salary_rank</t>
  </si>
  <si>
    <t>opportunity_score</t>
  </si>
  <si>
    <t>opportunity_label</t>
  </si>
  <si>
    <t>Sweet Spot</t>
  </si>
  <si>
    <t>Low Competition</t>
  </si>
  <si>
    <t>High Pay</t>
  </si>
  <si>
    <t>Standard</t>
  </si>
  <si>
    <t>Domain Opportunity Map — Salary vs Competition</t>
  </si>
  <si>
    <t>Domains in top-left quadrant (high salary, low competition) are the best opportunities</t>
  </si>
  <si>
    <t>Avg Applicants (X)</t>
  </si>
  <si>
    <t>Avg Salary $ (Y)</t>
  </si>
  <si>
    <t>Category</t>
  </si>
  <si>
    <t>Opportunity Label</t>
  </si>
  <si>
    <t>Quadrant Guide:  Top-Left (Low Competition + High Salary) = SWEET SPOT  |  Top-Right = High Pay but Crowded  |  Bottom-Left = Easy to Enter, Low Pay  |  Bottom-Right = Avoid</t>
  </si>
  <si>
    <t>Domain Salary Analysis — Ranked by Average Salary</t>
  </si>
  <si>
    <t>Rank</t>
  </si>
  <si>
    <t>Avg Salary ($)</t>
  </si>
  <si>
    <t>Salary Rank</t>
  </si>
  <si>
    <t>Key Finding: Legal roles pay $100,487 avg — 7.2x more than Manufacturing ($14,002) in the same market.
Domain choice outweighs experience level as a salary driver. Analytics ($32,110) beats IT ($30,526).</t>
  </si>
  <si>
    <t>Domain Salary &amp; Opportunity Lookup</t>
  </si>
  <si>
    <t>Select a domain from the dropdown below to see all stats</t>
  </si>
  <si>
    <t>Select Domain:</t>
  </si>
  <si>
    <t>Avg Applicants / Job</t>
  </si>
  <si>
    <t>Opportunity Score</t>
  </si>
  <si>
    <t>Salary Rank (of 32)</t>
  </si>
  <si>
    <t>Market Avg Salary ($)</t>
  </si>
  <si>
    <t>vs Market Avg</t>
  </si>
  <si>
    <t>Category Key: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</si>
</sst>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\$#,##0;&quot;($&quot;#,##0\)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F1F1F"/>
      <name val="Calibri"/>
      <charset val="1"/>
    </font>
    <font>
      <b/>
      <sz val="10"/>
      <color rgb="FF1B3A6B"/>
      <name val="Calibri"/>
      <charset val="1"/>
    </font>
    <font>
      <i/>
      <sz val="9"/>
      <color rgb="FF595959"/>
      <name val="Calibri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9C0006"/>
      <name val="Calibri"/>
      <charset val="1"/>
    </font>
    <font>
      <b/>
      <sz val="10"/>
      <color rgb="FF9C6500"/>
      <name val="Calibri"/>
      <charset val="1"/>
    </font>
    <font>
      <b/>
      <sz val="10"/>
      <color rgb="FF375623"/>
      <name val="Calibri"/>
      <charset val="1"/>
    </font>
    <font>
      <i/>
      <sz val="10"/>
      <color rgb="FF1B3A6B"/>
      <name val="Calibri"/>
      <charset val="1"/>
    </font>
    <font>
      <b/>
      <sz val="10"/>
      <name val="Calibri"/>
      <charset val="1"/>
    </font>
    <font>
      <b/>
      <sz val="16"/>
      <color rgb="FFFFFFFF"/>
      <name val="Calibri"/>
      <charset val="1"/>
    </font>
    <font>
      <b/>
      <sz val="12"/>
      <color rgb="FF1B3A6B"/>
      <name val="Calibri"/>
      <charset val="1"/>
    </font>
    <font>
      <b/>
      <sz val="11"/>
      <color rgb="FF1B3A6B"/>
      <name val="Calibri"/>
      <charset val="1"/>
    </font>
    <font>
      <b/>
      <sz val="9"/>
      <color rgb="FF375623"/>
      <name val="Calibri"/>
      <charset val="1"/>
    </font>
    <font>
      <b/>
      <sz val="9"/>
      <color rgb="FF17375E"/>
      <name val="Calibri"/>
      <charset val="1"/>
    </font>
    <font>
      <b/>
      <sz val="9"/>
      <color rgb="FF9C6500"/>
      <name val="Calibri"/>
      <charset val="1"/>
    </font>
    <font>
      <b/>
      <sz val="9"/>
      <color rgb="FF595959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7375E"/>
      </patternFill>
    </fill>
    <fill>
      <patternFill patternType="solid">
        <fgColor rgb="FF17375E"/>
        <bgColor rgb="FF1B3A6B"/>
      </patternFill>
    </fill>
    <fill>
      <patternFill patternType="solid">
        <fgColor rgb="FFFFFFFF"/>
        <bgColor rgb="FFF9F9F9"/>
      </patternFill>
    </fill>
    <fill>
      <patternFill patternType="solid">
        <fgColor rgb="FFDCE6F1"/>
        <bgColor rgb="FFDDEEFF"/>
      </patternFill>
    </fill>
    <fill>
      <patternFill patternType="solid">
        <fgColor rgb="FFEBF1D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FFD0"/>
        <bgColor rgb="FFFFF2CC"/>
      </patternFill>
    </fill>
    <fill>
      <patternFill patternType="solid">
        <fgColor rgb="FFDDEEFF"/>
        <bgColor rgb="FFDCE6F1"/>
      </patternFill>
    </fill>
    <fill>
      <patternFill patternType="solid">
        <fgColor rgb="FFF7F7F7"/>
        <bgColor rgb="FFF9F9F9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EBF1DE"/>
      </patternFill>
    </fill>
    <fill>
      <patternFill patternType="solid">
        <fgColor rgb="FFFFF2CC"/>
        <bgColor rgb="FFFFFFD0"/>
      </patternFill>
    </fill>
    <fill>
      <patternFill patternType="solid">
        <fgColor rgb="FF2E5090"/>
        <bgColor rgb="FF1B3A6B"/>
      </patternFill>
    </fill>
    <fill>
      <patternFill patternType="solid">
        <fgColor rgb="FFF5F9FF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164" fontId="8" fillId="11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164" fontId="17" fillId="16" borderId="3" xfId="0" applyNumberFormat="1" applyFont="1" applyFill="1" applyBorder="1" applyAlignment="1">
      <alignment horizontal="center" vertical="center"/>
    </xf>
    <xf numFmtId="3" fontId="17" fillId="16" borderId="3" xfId="0" applyNumberFormat="1" applyFont="1" applyFill="1" applyBorder="1" applyAlignment="1">
      <alignment horizontal="center" vertical="center"/>
    </xf>
    <xf numFmtId="165" fontId="17" fillId="16" borderId="3" xfId="0" applyNumberFormat="1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166" fontId="17" fillId="16" borderId="3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78787"/>
      <rgbColor rgb="FFF5F9FF"/>
      <rgbColor rgb="FF993366"/>
      <rgbColor rgb="FFFFFFD0"/>
      <rgbColor rgb="FFDDEEFF"/>
      <rgbColor rgb="FF660066"/>
      <rgbColor rgb="FFFF8080"/>
      <rgbColor rgb="FF2E5090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EB9C"/>
      <rgbColor rgb="FFEBF1DE"/>
      <rgbColor rgb="FFF2F2F2"/>
      <rgbColor rgb="FFF7F7F7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75623"/>
      <rgbColor rgb="FF993300"/>
      <rgbColor rgb="FF993366"/>
      <rgbColor rgb="FF1B3A6B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Job Market Opportunity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Domains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E509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'Opportunity Map'!$B$5:$B$37</c:f>
              <c:numCache>
                <c:formatCode>General</c:formatCode>
                <c:ptCount val="33"/>
                <c:pt idx="0">
                  <c:v>4.2</c:v>
                </c:pt>
                <c:pt idx="1">
                  <c:v>16.5</c:v>
                </c:pt>
                <c:pt idx="2">
                  <c:v>9.9</c:v>
                </c:pt>
                <c:pt idx="3">
                  <c:v>4.0999999999999996</c:v>
                </c:pt>
                <c:pt idx="4">
                  <c:v>2.5</c:v>
                </c:pt>
                <c:pt idx="5">
                  <c:v>4</c:v>
                </c:pt>
                <c:pt idx="6">
                  <c:v>8</c:v>
                </c:pt>
                <c:pt idx="7">
                  <c:v>4.3</c:v>
                </c:pt>
                <c:pt idx="8">
                  <c:v>10.8</c:v>
                </c:pt>
                <c:pt idx="9">
                  <c:v>7.9</c:v>
                </c:pt>
                <c:pt idx="10">
                  <c:v>9.3000000000000007</c:v>
                </c:pt>
                <c:pt idx="11">
                  <c:v>7.6</c:v>
                </c:pt>
                <c:pt idx="12">
                  <c:v>8.5</c:v>
                </c:pt>
                <c:pt idx="13">
                  <c:v>4</c:v>
                </c:pt>
                <c:pt idx="14">
                  <c:v>13.7</c:v>
                </c:pt>
                <c:pt idx="15">
                  <c:v>4.2</c:v>
                </c:pt>
                <c:pt idx="16">
                  <c:v>7</c:v>
                </c:pt>
                <c:pt idx="17">
                  <c:v>10.9</c:v>
                </c:pt>
                <c:pt idx="18">
                  <c:v>9.4</c:v>
                </c:pt>
                <c:pt idx="19">
                  <c:v>17</c:v>
                </c:pt>
                <c:pt idx="20">
                  <c:v>14.2</c:v>
                </c:pt>
                <c:pt idx="21">
                  <c:v>12.3</c:v>
                </c:pt>
                <c:pt idx="22">
                  <c:v>3.8</c:v>
                </c:pt>
                <c:pt idx="23">
                  <c:v>4.5</c:v>
                </c:pt>
                <c:pt idx="24">
                  <c:v>43.8</c:v>
                </c:pt>
                <c:pt idx="25">
                  <c:v>5.6</c:v>
                </c:pt>
                <c:pt idx="26">
                  <c:v>6.2</c:v>
                </c:pt>
                <c:pt idx="27">
                  <c:v>9.3000000000000007</c:v>
                </c:pt>
                <c:pt idx="28">
                  <c:v>4.7</c:v>
                </c:pt>
                <c:pt idx="29">
                  <c:v>5</c:v>
                </c:pt>
                <c:pt idx="30">
                  <c:v>6.2</c:v>
                </c:pt>
                <c:pt idx="31">
                  <c:v>3.4</c:v>
                </c:pt>
                <c:pt idx="32">
                  <c:v>2</c:v>
                </c:pt>
              </c:numCache>
            </c:numRef>
          </c:xVal>
          <c:yVal>
            <c:numRef>
              <c:f>'Opportunity Map'!$C$5:$C$37</c:f>
              <c:numCache>
                <c:formatCode>\$#,##0</c:formatCode>
                <c:ptCount val="33"/>
                <c:pt idx="0">
                  <c:v>80655</c:v>
                </c:pt>
                <c:pt idx="1">
                  <c:v>57443</c:v>
                </c:pt>
                <c:pt idx="2">
                  <c:v>55532</c:v>
                </c:pt>
                <c:pt idx="3">
                  <c:v>55178</c:v>
                </c:pt>
                <c:pt idx="4">
                  <c:v>54403</c:v>
                </c:pt>
                <c:pt idx="5">
                  <c:v>53602</c:v>
                </c:pt>
                <c:pt idx="6">
                  <c:v>49164</c:v>
                </c:pt>
                <c:pt idx="7">
                  <c:v>49105</c:v>
                </c:pt>
                <c:pt idx="8">
                  <c:v>48094</c:v>
                </c:pt>
                <c:pt idx="9">
                  <c:v>46426</c:v>
                </c:pt>
                <c:pt idx="10">
                  <c:v>46418</c:v>
                </c:pt>
                <c:pt idx="11">
                  <c:v>44023</c:v>
                </c:pt>
                <c:pt idx="12">
                  <c:v>42538</c:v>
                </c:pt>
                <c:pt idx="13">
                  <c:v>41011</c:v>
                </c:pt>
                <c:pt idx="14">
                  <c:v>40553</c:v>
                </c:pt>
                <c:pt idx="15">
                  <c:v>40491</c:v>
                </c:pt>
                <c:pt idx="16">
                  <c:v>39314</c:v>
                </c:pt>
                <c:pt idx="17">
                  <c:v>38233</c:v>
                </c:pt>
                <c:pt idx="18">
                  <c:v>37469</c:v>
                </c:pt>
                <c:pt idx="19">
                  <c:v>35947</c:v>
                </c:pt>
                <c:pt idx="20">
                  <c:v>35355</c:v>
                </c:pt>
                <c:pt idx="21">
                  <c:v>34877</c:v>
                </c:pt>
                <c:pt idx="22">
                  <c:v>33741</c:v>
                </c:pt>
                <c:pt idx="23">
                  <c:v>33666</c:v>
                </c:pt>
                <c:pt idx="24">
                  <c:v>32358</c:v>
                </c:pt>
                <c:pt idx="25">
                  <c:v>30458</c:v>
                </c:pt>
                <c:pt idx="26">
                  <c:v>30396</c:v>
                </c:pt>
                <c:pt idx="27">
                  <c:v>24874</c:v>
                </c:pt>
                <c:pt idx="28">
                  <c:v>23737</c:v>
                </c:pt>
                <c:pt idx="29">
                  <c:v>23596</c:v>
                </c:pt>
                <c:pt idx="30">
                  <c:v>17137</c:v>
                </c:pt>
                <c:pt idx="31">
                  <c:v>8318</c:v>
                </c:pt>
                <c:pt idx="32">
                  <c:v>7917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79-487B-BD9C-0F6B68A02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60209"/>
        <c:axId val="26631924"/>
      </c:scatterChart>
      <c:valAx>
        <c:axId val="520602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Applicants per Job (Competition →)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31924"/>
        <c:crosses val="autoZero"/>
        <c:crossBetween val="midCat"/>
      </c:valAx>
      <c:valAx>
        <c:axId val="26631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Salary $ (Pay ↑)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602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Domain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'Domain Analysis'!$C$3</c:f>
              <c:strCache>
                <c:ptCount val="1"/>
                <c:pt idx="0">
                  <c:v>Avg Salary ($)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'Domain Analysis'!$B$4:$B$18</c:f>
              <c:strCache>
                <c:ptCount val="15"/>
                <c:pt idx="0">
                  <c:v>Legal</c:v>
                </c:pt>
                <c:pt idx="1">
                  <c:v>Accounting/Auditing</c:v>
                </c:pt>
                <c:pt idx="2">
                  <c:v>Strategy/Planning</c:v>
                </c:pt>
                <c:pt idx="3">
                  <c:v>Marketing</c:v>
                </c:pt>
                <c:pt idx="4">
                  <c:v>Public Relations</c:v>
                </c:pt>
                <c:pt idx="5">
                  <c:v>Product Management</c:v>
                </c:pt>
                <c:pt idx="6">
                  <c:v>Finance</c:v>
                </c:pt>
                <c:pt idx="7">
                  <c:v>Science</c:v>
                </c:pt>
                <c:pt idx="8">
                  <c:v>Human Resources</c:v>
                </c:pt>
                <c:pt idx="9">
                  <c:v>General Business</c:v>
                </c:pt>
                <c:pt idx="10">
                  <c:v>Project Management</c:v>
                </c:pt>
                <c:pt idx="11">
                  <c:v>Research</c:v>
                </c:pt>
                <c:pt idx="12">
                  <c:v>Writing/Editing</c:v>
                </c:pt>
                <c:pt idx="13">
                  <c:v>Design</c:v>
                </c:pt>
                <c:pt idx="14">
                  <c:v>Production</c:v>
                </c:pt>
              </c:strCache>
            </c:strRef>
          </c:cat>
          <c:val>
            <c:numRef>
              <c:f>'Domain Analysis'!$C$4:$C$18</c:f>
              <c:numCache>
                <c:formatCode>\$#,##0</c:formatCode>
                <c:ptCount val="15"/>
                <c:pt idx="0">
                  <c:v>100487</c:v>
                </c:pt>
                <c:pt idx="1">
                  <c:v>47789</c:v>
                </c:pt>
                <c:pt idx="2">
                  <c:v>45912</c:v>
                </c:pt>
                <c:pt idx="3">
                  <c:v>45680</c:v>
                </c:pt>
                <c:pt idx="4">
                  <c:v>44300</c:v>
                </c:pt>
                <c:pt idx="5">
                  <c:v>43819</c:v>
                </c:pt>
                <c:pt idx="6">
                  <c:v>41916</c:v>
                </c:pt>
                <c:pt idx="7">
                  <c:v>40765</c:v>
                </c:pt>
                <c:pt idx="8">
                  <c:v>40763</c:v>
                </c:pt>
                <c:pt idx="9">
                  <c:v>37641</c:v>
                </c:pt>
                <c:pt idx="10">
                  <c:v>36832</c:v>
                </c:pt>
                <c:pt idx="11">
                  <c:v>35136</c:v>
                </c:pt>
                <c:pt idx="12">
                  <c:v>34979</c:v>
                </c:pt>
                <c:pt idx="13">
                  <c:v>34239</c:v>
                </c:pt>
                <c:pt idx="14">
                  <c:v>32552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8-4015-BE87-842B50203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7593"/>
        <c:axId val="7698520"/>
      </c:barChart>
      <c:catAx>
        <c:axId val="136875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Salary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8520"/>
        <c:crosses val="autoZero"/>
        <c:auto val="1"/>
        <c:lblAlgn val="ctr"/>
        <c:lblOffset val="100"/>
        <c:noMultiLvlLbl val="0"/>
      </c:catAx>
      <c:valAx>
        <c:axId val="7698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87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18</xdr:col>
      <xdr:colOff>581760</xdr:colOff>
      <xdr:row>28</xdr:row>
      <xdr:rowOff>25560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18</xdr:col>
      <xdr:colOff>581760</xdr:colOff>
      <xdr:row>25</xdr:row>
      <xdr:rowOff>10440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topLeftCell="A17" zoomScaleNormal="100" workbookViewId="0">
      <selection sqref="A1:D1"/>
    </sheetView>
  </sheetViews>
  <sheetFormatPr defaultColWidth="8.6328125" defaultRowHeight="14.5" x14ac:dyDescent="0.35"/>
  <cols>
    <col min="1" max="1" width="38" customWidth="1"/>
    <col min="2" max="2" width="32" customWidth="1"/>
    <col min="3" max="3" width="14" customWidth="1"/>
    <col min="4" max="4" width="4" customWidth="1"/>
  </cols>
  <sheetData>
    <row r="1" spans="1:4" ht="42" customHeight="1" x14ac:dyDescent="0.35">
      <c r="A1" s="7" t="s">
        <v>0</v>
      </c>
      <c r="B1" s="7"/>
      <c r="C1" s="7"/>
      <c r="D1" s="7"/>
    </row>
    <row r="2" spans="1:4" ht="7.5" customHeight="1" x14ac:dyDescent="0.35"/>
    <row r="3" spans="1:4" ht="21.75" customHeight="1" x14ac:dyDescent="0.35">
      <c r="A3" s="8" t="s">
        <v>1</v>
      </c>
      <c r="B3" s="8" t="s">
        <v>2</v>
      </c>
      <c r="C3" s="8" t="s">
        <v>3</v>
      </c>
    </row>
    <row r="4" spans="1:4" ht="15.75" customHeight="1" x14ac:dyDescent="0.35">
      <c r="A4" s="9" t="s">
        <v>4</v>
      </c>
      <c r="B4" s="10" t="s">
        <v>5</v>
      </c>
      <c r="C4" s="11" t="s">
        <v>6</v>
      </c>
    </row>
    <row r="5" spans="1:4" ht="15.75" customHeight="1" x14ac:dyDescent="0.35">
      <c r="A5" s="12" t="s">
        <v>7</v>
      </c>
      <c r="B5" s="13" t="s">
        <v>8</v>
      </c>
      <c r="C5" s="14" t="s">
        <v>9</v>
      </c>
    </row>
    <row r="6" spans="1:4" ht="15.75" customHeight="1" x14ac:dyDescent="0.35">
      <c r="A6" s="9" t="s">
        <v>10</v>
      </c>
      <c r="B6" s="10" t="s">
        <v>11</v>
      </c>
      <c r="C6" s="11" t="s">
        <v>9</v>
      </c>
    </row>
    <row r="7" spans="1:4" ht="15.75" customHeight="1" x14ac:dyDescent="0.35">
      <c r="A7" s="12" t="s">
        <v>12</v>
      </c>
      <c r="B7" s="13" t="s">
        <v>13</v>
      </c>
      <c r="C7" s="14" t="s">
        <v>9</v>
      </c>
    </row>
    <row r="8" spans="1:4" ht="6" customHeight="1" x14ac:dyDescent="0.35"/>
    <row r="9" spans="1:4" ht="15.75" customHeight="1" x14ac:dyDescent="0.35">
      <c r="A9" s="15" t="s">
        <v>14</v>
      </c>
      <c r="B9" s="16" t="s">
        <v>15</v>
      </c>
      <c r="C9" s="17" t="s">
        <v>16</v>
      </c>
    </row>
    <row r="10" spans="1:4" ht="15.75" customHeight="1" x14ac:dyDescent="0.35">
      <c r="A10" s="12" t="s">
        <v>17</v>
      </c>
      <c r="B10" s="13" t="s">
        <v>18</v>
      </c>
      <c r="C10" s="14" t="s">
        <v>16</v>
      </c>
    </row>
    <row r="11" spans="1:4" ht="15.75" customHeight="1" x14ac:dyDescent="0.35">
      <c r="A11" s="18" t="s">
        <v>19</v>
      </c>
      <c r="B11" s="19" t="s">
        <v>20</v>
      </c>
      <c r="C11" s="20" t="s">
        <v>16</v>
      </c>
    </row>
    <row r="12" spans="1:4" ht="15.75" customHeight="1" x14ac:dyDescent="0.35">
      <c r="A12" s="12" t="s">
        <v>21</v>
      </c>
      <c r="B12" s="13" t="s">
        <v>22</v>
      </c>
      <c r="C12" s="14" t="s">
        <v>16</v>
      </c>
    </row>
    <row r="13" spans="1:4" ht="15.75" customHeight="1" x14ac:dyDescent="0.35">
      <c r="A13" s="9" t="s">
        <v>23</v>
      </c>
      <c r="B13" s="10" t="s">
        <v>24</v>
      </c>
      <c r="C13" s="11" t="s">
        <v>16</v>
      </c>
    </row>
    <row r="14" spans="1:4" ht="6" customHeight="1" x14ac:dyDescent="0.35"/>
    <row r="15" spans="1:4" ht="15.75" customHeight="1" x14ac:dyDescent="0.35">
      <c r="A15" s="12" t="s">
        <v>25</v>
      </c>
      <c r="B15" s="13" t="s">
        <v>26</v>
      </c>
      <c r="C15" s="14" t="s">
        <v>27</v>
      </c>
    </row>
    <row r="16" spans="1:4" ht="15.75" customHeight="1" x14ac:dyDescent="0.35">
      <c r="A16" s="9" t="s">
        <v>28</v>
      </c>
      <c r="B16" s="10" t="s">
        <v>29</v>
      </c>
      <c r="C16" s="11" t="s">
        <v>27</v>
      </c>
    </row>
    <row r="17" spans="1:3" ht="15.75" customHeight="1" x14ac:dyDescent="0.35">
      <c r="A17" s="12" t="s">
        <v>30</v>
      </c>
      <c r="B17" s="13" t="s">
        <v>31</v>
      </c>
      <c r="C17" s="14" t="s">
        <v>27</v>
      </c>
    </row>
    <row r="18" spans="1:3" ht="15.75" customHeight="1" x14ac:dyDescent="0.35">
      <c r="A18" s="9" t="s">
        <v>32</v>
      </c>
      <c r="B18" s="10" t="s">
        <v>33</v>
      </c>
      <c r="C18" s="11" t="s">
        <v>27</v>
      </c>
    </row>
    <row r="19" spans="1:3" ht="6" customHeight="1" x14ac:dyDescent="0.35"/>
    <row r="20" spans="1:3" ht="15.75" customHeight="1" x14ac:dyDescent="0.35">
      <c r="A20" s="12" t="s">
        <v>34</v>
      </c>
      <c r="B20" s="13" t="s">
        <v>35</v>
      </c>
      <c r="C20" s="14" t="s">
        <v>36</v>
      </c>
    </row>
    <row r="21" spans="1:3" ht="15.75" customHeight="1" x14ac:dyDescent="0.35">
      <c r="A21" s="9" t="s">
        <v>37</v>
      </c>
      <c r="B21" s="10" t="s">
        <v>38</v>
      </c>
      <c r="C21" s="11" t="s">
        <v>36</v>
      </c>
    </row>
    <row r="22" spans="1:3" ht="15.75" customHeight="1" x14ac:dyDescent="0.35">
      <c r="A22" s="12" t="s">
        <v>39</v>
      </c>
      <c r="B22" s="13" t="s">
        <v>40</v>
      </c>
      <c r="C22" s="14" t="s">
        <v>36</v>
      </c>
    </row>
    <row r="23" spans="1:3" ht="15.75" customHeight="1" x14ac:dyDescent="0.35">
      <c r="A23" s="9" t="s">
        <v>41</v>
      </c>
      <c r="B23" s="10" t="s">
        <v>42</v>
      </c>
      <c r="C23" s="11" t="s">
        <v>36</v>
      </c>
    </row>
    <row r="24" spans="1:3" ht="6" customHeight="1" x14ac:dyDescent="0.35"/>
    <row r="25" spans="1:3" ht="15.75" customHeight="1" x14ac:dyDescent="0.35">
      <c r="A25" s="12" t="s">
        <v>43</v>
      </c>
      <c r="B25" s="13" t="s">
        <v>44</v>
      </c>
      <c r="C25" s="14" t="s">
        <v>45</v>
      </c>
    </row>
    <row r="26" spans="1:3" ht="15.75" customHeight="1" x14ac:dyDescent="0.35">
      <c r="A26" s="9" t="s">
        <v>46</v>
      </c>
      <c r="B26" s="10" t="s">
        <v>47</v>
      </c>
      <c r="C26" s="11" t="s">
        <v>45</v>
      </c>
    </row>
    <row r="27" spans="1:3" ht="15.75" customHeight="1" x14ac:dyDescent="0.35">
      <c r="A27" s="18" t="s">
        <v>48</v>
      </c>
      <c r="B27" s="19" t="s">
        <v>49</v>
      </c>
      <c r="C27" s="20" t="s">
        <v>45</v>
      </c>
    </row>
    <row r="28" spans="1:3" ht="6" customHeight="1" x14ac:dyDescent="0.35"/>
    <row r="29" spans="1:3" ht="15.75" customHeight="1" x14ac:dyDescent="0.35">
      <c r="A29" s="15" t="s">
        <v>50</v>
      </c>
      <c r="B29" s="16" t="s">
        <v>51</v>
      </c>
      <c r="C29" s="17" t="s">
        <v>52</v>
      </c>
    </row>
    <row r="30" spans="1:3" ht="15.75" customHeight="1" x14ac:dyDescent="0.35">
      <c r="A30" s="15" t="s">
        <v>53</v>
      </c>
      <c r="B30" s="16" t="s">
        <v>54</v>
      </c>
      <c r="C30" s="17" t="s">
        <v>52</v>
      </c>
    </row>
    <row r="31" spans="1:3" ht="15.75" customHeight="1" x14ac:dyDescent="0.35">
      <c r="A31" s="18" t="s">
        <v>55</v>
      </c>
      <c r="B31" s="19" t="s">
        <v>56</v>
      </c>
      <c r="C31" s="20" t="s">
        <v>52</v>
      </c>
    </row>
    <row r="32" spans="1:3" ht="15.75" customHeight="1" x14ac:dyDescent="0.35">
      <c r="A32" s="12" t="s">
        <v>57</v>
      </c>
      <c r="B32" s="13" t="s">
        <v>58</v>
      </c>
      <c r="C32" s="14" t="s">
        <v>59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showGridLines="0" topLeftCell="A9" zoomScaleNormal="100" workbookViewId="0">
      <selection sqref="A1:F1"/>
    </sheetView>
  </sheetViews>
  <sheetFormatPr defaultColWidth="8.6328125" defaultRowHeight="14.5" x14ac:dyDescent="0.35"/>
  <cols>
    <col min="1" max="1" width="30" customWidth="1"/>
    <col min="2" max="2" width="12" customWidth="1"/>
    <col min="3" max="3" width="18" customWidth="1"/>
    <col min="4" max="5" width="14" customWidth="1"/>
    <col min="6" max="6" width="18" customWidth="1"/>
  </cols>
  <sheetData>
    <row r="1" spans="1:6" ht="39.75" customHeight="1" x14ac:dyDescent="0.35">
      <c r="A1" s="6" t="s">
        <v>60</v>
      </c>
      <c r="B1" s="6"/>
      <c r="C1" s="6"/>
      <c r="D1" s="6"/>
      <c r="E1" s="6"/>
      <c r="F1" s="6"/>
    </row>
    <row r="2" spans="1:6" ht="9.75" customHeight="1" x14ac:dyDescent="0.35"/>
    <row r="3" spans="1:6" ht="21.75" customHeight="1" x14ac:dyDescent="0.35">
      <c r="A3" s="21" t="s">
        <v>61</v>
      </c>
      <c r="B3" s="21" t="s">
        <v>62</v>
      </c>
      <c r="C3" s="21" t="s">
        <v>63</v>
      </c>
      <c r="D3" s="21" t="s">
        <v>64</v>
      </c>
      <c r="E3" s="21" t="s">
        <v>65</v>
      </c>
      <c r="F3" s="21" t="s">
        <v>66</v>
      </c>
    </row>
    <row r="4" spans="1:6" ht="18" customHeight="1" x14ac:dyDescent="0.35">
      <c r="A4" s="22" t="s">
        <v>67</v>
      </c>
      <c r="B4" s="23">
        <v>12</v>
      </c>
      <c r="C4" s="24">
        <v>43.8</v>
      </c>
      <c r="D4" s="23">
        <v>188.6</v>
      </c>
      <c r="E4" s="23">
        <v>23.2</v>
      </c>
      <c r="F4" s="23" t="s">
        <v>68</v>
      </c>
    </row>
    <row r="5" spans="1:6" ht="18" customHeight="1" x14ac:dyDescent="0.35">
      <c r="A5" s="22" t="s">
        <v>69</v>
      </c>
      <c r="B5" s="23">
        <v>17</v>
      </c>
      <c r="C5" s="24">
        <v>17</v>
      </c>
      <c r="D5" s="23">
        <v>71.5</v>
      </c>
      <c r="E5" s="23">
        <v>23.8</v>
      </c>
      <c r="F5" s="23" t="s">
        <v>68</v>
      </c>
    </row>
    <row r="6" spans="1:6" ht="18" customHeight="1" x14ac:dyDescent="0.35">
      <c r="A6" s="22" t="s">
        <v>70</v>
      </c>
      <c r="B6" s="23">
        <v>13</v>
      </c>
      <c r="C6" s="24">
        <v>16.5</v>
      </c>
      <c r="D6" s="23">
        <v>85.9</v>
      </c>
      <c r="E6" s="23">
        <v>19.2</v>
      </c>
      <c r="F6" s="23" t="s">
        <v>68</v>
      </c>
    </row>
    <row r="7" spans="1:6" ht="18" customHeight="1" x14ac:dyDescent="0.35">
      <c r="A7" s="25" t="s">
        <v>71</v>
      </c>
      <c r="B7" s="26">
        <v>298</v>
      </c>
      <c r="C7" s="27">
        <v>14.2</v>
      </c>
      <c r="D7" s="26">
        <v>55.6</v>
      </c>
      <c r="E7" s="26">
        <v>25.6</v>
      </c>
      <c r="F7" s="26" t="s">
        <v>72</v>
      </c>
    </row>
    <row r="8" spans="1:6" ht="18" customHeight="1" x14ac:dyDescent="0.35">
      <c r="A8" s="25" t="s">
        <v>73</v>
      </c>
      <c r="B8" s="26">
        <v>146</v>
      </c>
      <c r="C8" s="27">
        <v>13.7</v>
      </c>
      <c r="D8" s="26">
        <v>51.9</v>
      </c>
      <c r="E8" s="26">
        <v>26.3</v>
      </c>
      <c r="F8" s="26" t="s">
        <v>72</v>
      </c>
    </row>
    <row r="9" spans="1:6" ht="18" customHeight="1" x14ac:dyDescent="0.35">
      <c r="A9" s="25" t="s">
        <v>74</v>
      </c>
      <c r="B9" s="26">
        <v>60</v>
      </c>
      <c r="C9" s="27">
        <v>12.3</v>
      </c>
      <c r="D9" s="26">
        <v>53.3</v>
      </c>
      <c r="E9" s="26">
        <v>23.1</v>
      </c>
      <c r="F9" s="26" t="s">
        <v>72</v>
      </c>
    </row>
    <row r="10" spans="1:6" ht="18" customHeight="1" x14ac:dyDescent="0.35">
      <c r="A10" s="25" t="s">
        <v>75</v>
      </c>
      <c r="B10" s="26">
        <v>55</v>
      </c>
      <c r="C10" s="27">
        <v>10.9</v>
      </c>
      <c r="D10" s="26">
        <v>44.9</v>
      </c>
      <c r="E10" s="26">
        <v>24.2</v>
      </c>
      <c r="F10" s="26" t="s">
        <v>72</v>
      </c>
    </row>
    <row r="11" spans="1:6" ht="18" customHeight="1" x14ac:dyDescent="0.35">
      <c r="A11" s="25" t="s">
        <v>76</v>
      </c>
      <c r="B11" s="26">
        <v>19</v>
      </c>
      <c r="C11" s="27">
        <v>10.8</v>
      </c>
      <c r="D11" s="26">
        <v>60.3</v>
      </c>
      <c r="E11" s="26">
        <v>17.899999999999999</v>
      </c>
      <c r="F11" s="26" t="s">
        <v>72</v>
      </c>
    </row>
    <row r="12" spans="1:6" ht="18" customHeight="1" x14ac:dyDescent="0.35">
      <c r="A12" s="25" t="s">
        <v>77</v>
      </c>
      <c r="B12" s="26">
        <v>66</v>
      </c>
      <c r="C12" s="27">
        <v>9.9</v>
      </c>
      <c r="D12" s="26">
        <v>52.9</v>
      </c>
      <c r="E12" s="26">
        <v>18.600000000000001</v>
      </c>
      <c r="F12" s="26" t="s">
        <v>72</v>
      </c>
    </row>
    <row r="13" spans="1:6" ht="18" customHeight="1" x14ac:dyDescent="0.35">
      <c r="A13" s="25" t="s">
        <v>78</v>
      </c>
      <c r="B13" s="26">
        <v>41</v>
      </c>
      <c r="C13" s="27">
        <v>9.4</v>
      </c>
      <c r="D13" s="26">
        <v>43.2</v>
      </c>
      <c r="E13" s="26">
        <v>21.7</v>
      </c>
      <c r="F13" s="26" t="s">
        <v>72</v>
      </c>
    </row>
    <row r="14" spans="1:6" ht="18" customHeight="1" x14ac:dyDescent="0.35">
      <c r="A14" s="25" t="s">
        <v>79</v>
      </c>
      <c r="B14" s="26">
        <v>26</v>
      </c>
      <c r="C14" s="27">
        <v>9.3000000000000007</v>
      </c>
      <c r="D14" s="26">
        <v>47.5</v>
      </c>
      <c r="E14" s="26">
        <v>19.5</v>
      </c>
      <c r="F14" s="26" t="s">
        <v>72</v>
      </c>
    </row>
    <row r="15" spans="1:6" ht="18" customHeight="1" x14ac:dyDescent="0.35">
      <c r="A15" s="25" t="s">
        <v>80</v>
      </c>
      <c r="B15" s="26">
        <v>29</v>
      </c>
      <c r="C15" s="27">
        <v>9.3000000000000007</v>
      </c>
      <c r="D15" s="26">
        <v>51</v>
      </c>
      <c r="E15" s="26">
        <v>18.2</v>
      </c>
      <c r="F15" s="26" t="s">
        <v>72</v>
      </c>
    </row>
    <row r="16" spans="1:6" ht="18" customHeight="1" x14ac:dyDescent="0.35">
      <c r="A16" s="25" t="s">
        <v>81</v>
      </c>
      <c r="B16" s="26">
        <v>163</v>
      </c>
      <c r="C16" s="27">
        <v>8.5</v>
      </c>
      <c r="D16" s="26">
        <v>42.2</v>
      </c>
      <c r="E16" s="26">
        <v>20.100000000000001</v>
      </c>
      <c r="F16" s="26" t="s">
        <v>72</v>
      </c>
    </row>
    <row r="17" spans="1:6" ht="18" customHeight="1" x14ac:dyDescent="0.35">
      <c r="A17" s="25" t="s">
        <v>82</v>
      </c>
      <c r="B17" s="26">
        <v>46</v>
      </c>
      <c r="C17" s="27">
        <v>8</v>
      </c>
      <c r="D17" s="26">
        <v>41.4</v>
      </c>
      <c r="E17" s="26">
        <v>19.2</v>
      </c>
      <c r="F17" s="26" t="s">
        <v>72</v>
      </c>
    </row>
    <row r="18" spans="1:6" ht="18" customHeight="1" x14ac:dyDescent="0.35">
      <c r="A18" s="28" t="s">
        <v>83</v>
      </c>
      <c r="B18" s="29">
        <v>103</v>
      </c>
      <c r="C18" s="30">
        <v>7.9</v>
      </c>
      <c r="D18" s="29">
        <v>42.6</v>
      </c>
      <c r="E18" s="29">
        <v>18.600000000000001</v>
      </c>
      <c r="F18" s="29" t="s">
        <v>84</v>
      </c>
    </row>
    <row r="19" spans="1:6" ht="18" customHeight="1" x14ac:dyDescent="0.35">
      <c r="A19" s="28" t="s">
        <v>85</v>
      </c>
      <c r="B19" s="29">
        <v>19</v>
      </c>
      <c r="C19" s="30">
        <v>7.6</v>
      </c>
      <c r="D19" s="29">
        <v>44.6</v>
      </c>
      <c r="E19" s="29">
        <v>17.100000000000001</v>
      </c>
      <c r="F19" s="29" t="s">
        <v>84</v>
      </c>
    </row>
    <row r="20" spans="1:6" ht="18" customHeight="1" x14ac:dyDescent="0.35">
      <c r="A20" s="28" t="s">
        <v>86</v>
      </c>
      <c r="B20" s="29">
        <v>34</v>
      </c>
      <c r="C20" s="30">
        <v>7</v>
      </c>
      <c r="D20" s="29">
        <v>37.299999999999997</v>
      </c>
      <c r="E20" s="29">
        <v>18.8</v>
      </c>
      <c r="F20" s="29" t="s">
        <v>84</v>
      </c>
    </row>
    <row r="21" spans="1:6" ht="18" customHeight="1" x14ac:dyDescent="0.35">
      <c r="A21" s="28" t="s">
        <v>87</v>
      </c>
      <c r="B21" s="29">
        <v>48</v>
      </c>
      <c r="C21" s="30">
        <v>6.2</v>
      </c>
      <c r="D21" s="29">
        <v>46.8</v>
      </c>
      <c r="E21" s="29">
        <v>13.3</v>
      </c>
      <c r="F21" s="29" t="s">
        <v>84</v>
      </c>
    </row>
    <row r="22" spans="1:6" ht="18" customHeight="1" x14ac:dyDescent="0.35">
      <c r="A22" s="28" t="s">
        <v>88</v>
      </c>
      <c r="B22" s="29">
        <v>22</v>
      </c>
      <c r="C22" s="30">
        <v>6.2</v>
      </c>
      <c r="D22" s="29">
        <v>33</v>
      </c>
      <c r="E22" s="29">
        <v>18.8</v>
      </c>
      <c r="F22" s="29" t="s">
        <v>84</v>
      </c>
    </row>
    <row r="23" spans="1:6" ht="18" customHeight="1" x14ac:dyDescent="0.35">
      <c r="A23" s="28" t="s">
        <v>89</v>
      </c>
      <c r="B23" s="29">
        <v>102</v>
      </c>
      <c r="C23" s="30">
        <v>5.6</v>
      </c>
      <c r="D23" s="29">
        <v>36.5</v>
      </c>
      <c r="E23" s="29">
        <v>15.3</v>
      </c>
      <c r="F23" s="29" t="s">
        <v>84</v>
      </c>
    </row>
    <row r="24" spans="1:6" ht="18" customHeight="1" x14ac:dyDescent="0.35">
      <c r="A24" s="28" t="s">
        <v>90</v>
      </c>
      <c r="B24" s="29">
        <v>13</v>
      </c>
      <c r="C24" s="30">
        <v>5</v>
      </c>
      <c r="D24" s="29">
        <v>40</v>
      </c>
      <c r="E24" s="29">
        <v>12.5</v>
      </c>
      <c r="F24" s="29" t="s">
        <v>84</v>
      </c>
    </row>
    <row r="25" spans="1:6" ht="18" customHeight="1" x14ac:dyDescent="0.35">
      <c r="A25" s="31" t="s">
        <v>91</v>
      </c>
      <c r="B25" s="32">
        <v>95</v>
      </c>
      <c r="C25" s="33">
        <v>4.7</v>
      </c>
      <c r="D25" s="32">
        <v>29</v>
      </c>
      <c r="E25" s="32">
        <v>16.2</v>
      </c>
      <c r="F25" s="32" t="s">
        <v>92</v>
      </c>
    </row>
    <row r="26" spans="1:6" ht="18" customHeight="1" x14ac:dyDescent="0.35">
      <c r="A26" s="31" t="s">
        <v>93</v>
      </c>
      <c r="B26" s="32">
        <v>55</v>
      </c>
      <c r="C26" s="33">
        <v>4.5</v>
      </c>
      <c r="D26" s="32">
        <v>30.5</v>
      </c>
      <c r="E26" s="32">
        <v>14.7</v>
      </c>
      <c r="F26" s="32" t="s">
        <v>92</v>
      </c>
    </row>
    <row r="27" spans="1:6" ht="18" customHeight="1" x14ac:dyDescent="0.35">
      <c r="A27" s="31" t="s">
        <v>94</v>
      </c>
      <c r="B27" s="32">
        <v>81</v>
      </c>
      <c r="C27" s="33">
        <v>4.3</v>
      </c>
      <c r="D27" s="32">
        <v>31.4</v>
      </c>
      <c r="E27" s="32">
        <v>13.6</v>
      </c>
      <c r="F27" s="32" t="s">
        <v>92</v>
      </c>
    </row>
    <row r="28" spans="1:6" ht="18" customHeight="1" x14ac:dyDescent="0.35">
      <c r="A28" s="31" t="s">
        <v>95</v>
      </c>
      <c r="B28" s="32">
        <v>29</v>
      </c>
      <c r="C28" s="33">
        <v>4.2</v>
      </c>
      <c r="D28" s="32">
        <v>37</v>
      </c>
      <c r="E28" s="32">
        <v>11.3</v>
      </c>
      <c r="F28" s="32" t="s">
        <v>92</v>
      </c>
    </row>
    <row r="29" spans="1:6" ht="18" customHeight="1" x14ac:dyDescent="0.35">
      <c r="A29" s="31" t="s">
        <v>96</v>
      </c>
      <c r="B29" s="32">
        <v>11</v>
      </c>
      <c r="C29" s="33">
        <v>4.2</v>
      </c>
      <c r="D29" s="32">
        <v>31.1</v>
      </c>
      <c r="E29" s="32">
        <v>13.5</v>
      </c>
      <c r="F29" s="32" t="s">
        <v>92</v>
      </c>
    </row>
    <row r="30" spans="1:6" ht="18" customHeight="1" x14ac:dyDescent="0.35">
      <c r="A30" s="31" t="s">
        <v>97</v>
      </c>
      <c r="B30" s="32">
        <v>64</v>
      </c>
      <c r="C30" s="33">
        <v>4.0999999999999996</v>
      </c>
      <c r="D30" s="32">
        <v>32.200000000000003</v>
      </c>
      <c r="E30" s="32">
        <v>12.8</v>
      </c>
      <c r="F30" s="32" t="s">
        <v>92</v>
      </c>
    </row>
    <row r="31" spans="1:6" ht="18" customHeight="1" x14ac:dyDescent="0.35">
      <c r="A31" s="31" t="s">
        <v>98</v>
      </c>
      <c r="B31" s="32">
        <v>13</v>
      </c>
      <c r="C31" s="33">
        <v>4</v>
      </c>
      <c r="D31" s="32">
        <v>37</v>
      </c>
      <c r="E31" s="32">
        <v>10.8</v>
      </c>
      <c r="F31" s="32" t="s">
        <v>92</v>
      </c>
    </row>
    <row r="32" spans="1:6" ht="18" customHeight="1" x14ac:dyDescent="0.35">
      <c r="A32" s="31" t="s">
        <v>99</v>
      </c>
      <c r="B32" s="32">
        <v>12</v>
      </c>
      <c r="C32" s="33">
        <v>4</v>
      </c>
      <c r="D32" s="32">
        <v>31.3</v>
      </c>
      <c r="E32" s="32">
        <v>12.8</v>
      </c>
      <c r="F32" s="32" t="s">
        <v>92</v>
      </c>
    </row>
    <row r="33" spans="1:6" ht="18" customHeight="1" x14ac:dyDescent="0.35">
      <c r="A33" s="31" t="s">
        <v>100</v>
      </c>
      <c r="B33" s="32">
        <v>25</v>
      </c>
      <c r="C33" s="33">
        <v>3.8</v>
      </c>
      <c r="D33" s="32">
        <v>28.8</v>
      </c>
      <c r="E33" s="32">
        <v>13.3</v>
      </c>
      <c r="F33" s="32" t="s">
        <v>92</v>
      </c>
    </row>
    <row r="34" spans="1:6" ht="18" customHeight="1" x14ac:dyDescent="0.35">
      <c r="A34" s="31" t="s">
        <v>101</v>
      </c>
      <c r="B34" s="32">
        <v>11</v>
      </c>
      <c r="C34" s="33">
        <v>3.4</v>
      </c>
      <c r="D34" s="32">
        <v>23.2</v>
      </c>
      <c r="E34" s="32">
        <v>14.5</v>
      </c>
      <c r="F34" s="32" t="s">
        <v>92</v>
      </c>
    </row>
    <row r="35" spans="1:6" ht="18" customHeight="1" x14ac:dyDescent="0.35">
      <c r="A35" s="31" t="s">
        <v>102</v>
      </c>
      <c r="B35" s="32">
        <v>33</v>
      </c>
      <c r="C35" s="33">
        <v>2.5</v>
      </c>
      <c r="D35" s="32">
        <v>19.5</v>
      </c>
      <c r="E35" s="32">
        <v>13</v>
      </c>
      <c r="F35" s="32" t="s">
        <v>92</v>
      </c>
    </row>
    <row r="36" spans="1:6" ht="18" customHeight="1" x14ac:dyDescent="0.35">
      <c r="A36" s="31" t="s">
        <v>103</v>
      </c>
      <c r="B36" s="32">
        <v>12</v>
      </c>
      <c r="C36" s="33">
        <v>2</v>
      </c>
      <c r="D36" s="32">
        <v>25.2</v>
      </c>
      <c r="E36" s="32">
        <v>7.9</v>
      </c>
      <c r="F36" s="32" t="s">
        <v>92</v>
      </c>
    </row>
    <row r="39" spans="1:6" ht="39.75" customHeight="1" x14ac:dyDescent="0.35">
      <c r="A39" s="5" t="s">
        <v>104</v>
      </c>
      <c r="B39" s="5"/>
      <c r="C39" s="5"/>
      <c r="D39" s="5"/>
      <c r="E39" s="5"/>
      <c r="F39" s="5"/>
    </row>
  </sheetData>
  <mergeCells count="2">
    <mergeCell ref="A1:F1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12" customWidth="1"/>
    <col min="3" max="3" width="16" customWidth="1"/>
    <col min="4" max="5" width="14" customWidth="1"/>
  </cols>
  <sheetData>
    <row r="1" spans="1:5" x14ac:dyDescent="0.35">
      <c r="A1" s="34" t="s">
        <v>105</v>
      </c>
      <c r="B1" s="34" t="s">
        <v>106</v>
      </c>
      <c r="C1" s="34" t="s">
        <v>107</v>
      </c>
      <c r="D1" s="34" t="s">
        <v>108</v>
      </c>
      <c r="E1" s="34" t="s">
        <v>109</v>
      </c>
    </row>
    <row r="2" spans="1:5" x14ac:dyDescent="0.35">
      <c r="A2" s="35" t="s">
        <v>67</v>
      </c>
      <c r="B2" s="36">
        <v>12</v>
      </c>
      <c r="C2" s="36">
        <v>43.8</v>
      </c>
      <c r="D2" s="36">
        <v>188.6</v>
      </c>
      <c r="E2" s="36">
        <v>23.2</v>
      </c>
    </row>
    <row r="3" spans="1:5" x14ac:dyDescent="0.35">
      <c r="A3" s="35" t="s">
        <v>69</v>
      </c>
      <c r="B3" s="36">
        <v>17</v>
      </c>
      <c r="C3" s="36">
        <v>17</v>
      </c>
      <c r="D3" s="36">
        <v>71.5</v>
      </c>
      <c r="E3" s="36">
        <v>23.8</v>
      </c>
    </row>
    <row r="4" spans="1:5" x14ac:dyDescent="0.35">
      <c r="A4" s="35" t="s">
        <v>70</v>
      </c>
      <c r="B4" s="36">
        <v>13</v>
      </c>
      <c r="C4" s="36">
        <v>16.5</v>
      </c>
      <c r="D4" s="36">
        <v>85.9</v>
      </c>
      <c r="E4" s="36">
        <v>19.2</v>
      </c>
    </row>
    <row r="5" spans="1:5" x14ac:dyDescent="0.35">
      <c r="A5" s="35" t="s">
        <v>71</v>
      </c>
      <c r="B5" s="36">
        <v>298</v>
      </c>
      <c r="C5" s="36">
        <v>14.2</v>
      </c>
      <c r="D5" s="36">
        <v>55.6</v>
      </c>
      <c r="E5" s="36">
        <v>25.6</v>
      </c>
    </row>
    <row r="6" spans="1:5" x14ac:dyDescent="0.35">
      <c r="A6" s="35" t="s">
        <v>73</v>
      </c>
      <c r="B6" s="36">
        <v>146</v>
      </c>
      <c r="C6" s="36">
        <v>13.7</v>
      </c>
      <c r="D6" s="36">
        <v>51.9</v>
      </c>
      <c r="E6" s="36">
        <v>26.3</v>
      </c>
    </row>
    <row r="7" spans="1:5" x14ac:dyDescent="0.35">
      <c r="A7" s="35" t="s">
        <v>74</v>
      </c>
      <c r="B7" s="36">
        <v>60</v>
      </c>
      <c r="C7" s="36">
        <v>12.3</v>
      </c>
      <c r="D7" s="36">
        <v>53.3</v>
      </c>
      <c r="E7" s="36">
        <v>23.1</v>
      </c>
    </row>
    <row r="8" spans="1:5" x14ac:dyDescent="0.35">
      <c r="A8" s="35" t="s">
        <v>75</v>
      </c>
      <c r="B8" s="36">
        <v>55</v>
      </c>
      <c r="C8" s="36">
        <v>10.9</v>
      </c>
      <c r="D8" s="36">
        <v>44.9</v>
      </c>
      <c r="E8" s="36">
        <v>24.2</v>
      </c>
    </row>
    <row r="9" spans="1:5" x14ac:dyDescent="0.35">
      <c r="A9" s="35" t="s">
        <v>76</v>
      </c>
      <c r="B9" s="36">
        <v>19</v>
      </c>
      <c r="C9" s="36">
        <v>10.8</v>
      </c>
      <c r="D9" s="36">
        <v>60.3</v>
      </c>
      <c r="E9" s="36">
        <v>17.899999999999999</v>
      </c>
    </row>
    <row r="10" spans="1:5" x14ac:dyDescent="0.35">
      <c r="A10" s="35" t="s">
        <v>77</v>
      </c>
      <c r="B10" s="36">
        <v>66</v>
      </c>
      <c r="C10" s="36">
        <v>9.9</v>
      </c>
      <c r="D10" s="36">
        <v>52.9</v>
      </c>
      <c r="E10" s="36">
        <v>18.600000000000001</v>
      </c>
    </row>
    <row r="11" spans="1:5" x14ac:dyDescent="0.35">
      <c r="A11" s="35" t="s">
        <v>78</v>
      </c>
      <c r="B11" s="36">
        <v>41</v>
      </c>
      <c r="C11" s="36">
        <v>9.4</v>
      </c>
      <c r="D11" s="36">
        <v>43.2</v>
      </c>
      <c r="E11" s="36">
        <v>21.7</v>
      </c>
    </row>
    <row r="12" spans="1:5" x14ac:dyDescent="0.35">
      <c r="A12" s="35" t="s">
        <v>79</v>
      </c>
      <c r="B12" s="36">
        <v>26</v>
      </c>
      <c r="C12" s="36">
        <v>9.3000000000000007</v>
      </c>
      <c r="D12" s="36">
        <v>47.5</v>
      </c>
      <c r="E12" s="36">
        <v>19.5</v>
      </c>
    </row>
    <row r="13" spans="1:5" x14ac:dyDescent="0.35">
      <c r="A13" s="35" t="s">
        <v>80</v>
      </c>
      <c r="B13" s="36">
        <v>29</v>
      </c>
      <c r="C13" s="36">
        <v>9.3000000000000007</v>
      </c>
      <c r="D13" s="36">
        <v>51</v>
      </c>
      <c r="E13" s="36">
        <v>18.2</v>
      </c>
    </row>
    <row r="14" spans="1:5" x14ac:dyDescent="0.35">
      <c r="A14" s="35" t="s">
        <v>81</v>
      </c>
      <c r="B14" s="36">
        <v>163</v>
      </c>
      <c r="C14" s="36">
        <v>8.5</v>
      </c>
      <c r="D14" s="36">
        <v>42.2</v>
      </c>
      <c r="E14" s="36">
        <v>20.100000000000001</v>
      </c>
    </row>
    <row r="15" spans="1:5" x14ac:dyDescent="0.35">
      <c r="A15" s="35" t="s">
        <v>82</v>
      </c>
      <c r="B15" s="36">
        <v>46</v>
      </c>
      <c r="C15" s="36">
        <v>8</v>
      </c>
      <c r="D15" s="36">
        <v>41.4</v>
      </c>
      <c r="E15" s="36">
        <v>19.2</v>
      </c>
    </row>
    <row r="16" spans="1:5" x14ac:dyDescent="0.35">
      <c r="A16" s="35" t="s">
        <v>83</v>
      </c>
      <c r="B16" s="36">
        <v>103</v>
      </c>
      <c r="C16" s="36">
        <v>7.9</v>
      </c>
      <c r="D16" s="36">
        <v>42.6</v>
      </c>
      <c r="E16" s="36">
        <v>18.600000000000001</v>
      </c>
    </row>
    <row r="17" spans="1:5" x14ac:dyDescent="0.35">
      <c r="A17" s="35" t="s">
        <v>85</v>
      </c>
      <c r="B17" s="36">
        <v>19</v>
      </c>
      <c r="C17" s="36">
        <v>7.6</v>
      </c>
      <c r="D17" s="36">
        <v>44.6</v>
      </c>
      <c r="E17" s="36">
        <v>17.100000000000001</v>
      </c>
    </row>
    <row r="18" spans="1:5" x14ac:dyDescent="0.35">
      <c r="A18" s="35" t="s">
        <v>86</v>
      </c>
      <c r="B18" s="36">
        <v>34</v>
      </c>
      <c r="C18" s="36">
        <v>7</v>
      </c>
      <c r="D18" s="36">
        <v>37.299999999999997</v>
      </c>
      <c r="E18" s="36">
        <v>18.8</v>
      </c>
    </row>
    <row r="19" spans="1:5" x14ac:dyDescent="0.35">
      <c r="A19" s="35" t="s">
        <v>87</v>
      </c>
      <c r="B19" s="36">
        <v>48</v>
      </c>
      <c r="C19" s="36">
        <v>6.2</v>
      </c>
      <c r="D19" s="36">
        <v>46.8</v>
      </c>
      <c r="E19" s="36">
        <v>13.3</v>
      </c>
    </row>
    <row r="20" spans="1:5" x14ac:dyDescent="0.35">
      <c r="A20" s="35" t="s">
        <v>88</v>
      </c>
      <c r="B20" s="36">
        <v>22</v>
      </c>
      <c r="C20" s="36">
        <v>6.2</v>
      </c>
      <c r="D20" s="36">
        <v>33</v>
      </c>
      <c r="E20" s="36">
        <v>18.8</v>
      </c>
    </row>
    <row r="21" spans="1:5" x14ac:dyDescent="0.35">
      <c r="A21" s="35" t="s">
        <v>89</v>
      </c>
      <c r="B21" s="36">
        <v>102</v>
      </c>
      <c r="C21" s="36">
        <v>5.6</v>
      </c>
      <c r="D21" s="36">
        <v>36.5</v>
      </c>
      <c r="E21" s="36">
        <v>15.3</v>
      </c>
    </row>
    <row r="22" spans="1:5" x14ac:dyDescent="0.35">
      <c r="A22" s="35" t="s">
        <v>90</v>
      </c>
      <c r="B22" s="36">
        <v>13</v>
      </c>
      <c r="C22" s="36">
        <v>5</v>
      </c>
      <c r="D22" s="36">
        <v>40</v>
      </c>
      <c r="E22" s="36">
        <v>12.5</v>
      </c>
    </row>
    <row r="23" spans="1:5" x14ac:dyDescent="0.35">
      <c r="A23" s="35" t="s">
        <v>91</v>
      </c>
      <c r="B23" s="36">
        <v>95</v>
      </c>
      <c r="C23" s="36">
        <v>4.7</v>
      </c>
      <c r="D23" s="36">
        <v>29</v>
      </c>
      <c r="E23" s="36">
        <v>16.2</v>
      </c>
    </row>
    <row r="24" spans="1:5" x14ac:dyDescent="0.35">
      <c r="A24" s="35" t="s">
        <v>93</v>
      </c>
      <c r="B24" s="36">
        <v>55</v>
      </c>
      <c r="C24" s="36">
        <v>4.5</v>
      </c>
      <c r="D24" s="36">
        <v>30.5</v>
      </c>
      <c r="E24" s="36">
        <v>14.7</v>
      </c>
    </row>
    <row r="25" spans="1:5" x14ac:dyDescent="0.35">
      <c r="A25" s="35" t="s">
        <v>94</v>
      </c>
      <c r="B25" s="36">
        <v>81</v>
      </c>
      <c r="C25" s="36">
        <v>4.3</v>
      </c>
      <c r="D25" s="36">
        <v>31.4</v>
      </c>
      <c r="E25" s="36">
        <v>13.6</v>
      </c>
    </row>
    <row r="26" spans="1:5" x14ac:dyDescent="0.35">
      <c r="A26" s="35" t="s">
        <v>95</v>
      </c>
      <c r="B26" s="36">
        <v>29</v>
      </c>
      <c r="C26" s="36">
        <v>4.2</v>
      </c>
      <c r="D26" s="36">
        <v>37</v>
      </c>
      <c r="E26" s="36">
        <v>11.3</v>
      </c>
    </row>
    <row r="27" spans="1:5" x14ac:dyDescent="0.35">
      <c r="A27" s="35" t="s">
        <v>96</v>
      </c>
      <c r="B27" s="36">
        <v>11</v>
      </c>
      <c r="C27" s="36">
        <v>4.2</v>
      </c>
      <c r="D27" s="36">
        <v>31.1</v>
      </c>
      <c r="E27" s="36">
        <v>13.5</v>
      </c>
    </row>
    <row r="28" spans="1:5" x14ac:dyDescent="0.35">
      <c r="A28" s="35" t="s">
        <v>97</v>
      </c>
      <c r="B28" s="36">
        <v>64</v>
      </c>
      <c r="C28" s="36">
        <v>4.0999999999999996</v>
      </c>
      <c r="D28" s="36">
        <v>32.200000000000003</v>
      </c>
      <c r="E28" s="36">
        <v>12.8</v>
      </c>
    </row>
    <row r="29" spans="1:5" x14ac:dyDescent="0.35">
      <c r="A29" s="35" t="s">
        <v>98</v>
      </c>
      <c r="B29" s="36">
        <v>13</v>
      </c>
      <c r="C29" s="36">
        <v>4</v>
      </c>
      <c r="D29" s="36">
        <v>37</v>
      </c>
      <c r="E29" s="36">
        <v>10.8</v>
      </c>
    </row>
    <row r="30" spans="1:5" x14ac:dyDescent="0.35">
      <c r="A30" s="35" t="s">
        <v>99</v>
      </c>
      <c r="B30" s="36">
        <v>12</v>
      </c>
      <c r="C30" s="36">
        <v>4</v>
      </c>
      <c r="D30" s="36">
        <v>31.3</v>
      </c>
      <c r="E30" s="36">
        <v>12.8</v>
      </c>
    </row>
    <row r="31" spans="1:5" x14ac:dyDescent="0.35">
      <c r="A31" s="35" t="s">
        <v>100</v>
      </c>
      <c r="B31" s="36">
        <v>25</v>
      </c>
      <c r="C31" s="36">
        <v>3.8</v>
      </c>
      <c r="D31" s="36">
        <v>28.8</v>
      </c>
      <c r="E31" s="36">
        <v>13.3</v>
      </c>
    </row>
    <row r="32" spans="1:5" x14ac:dyDescent="0.35">
      <c r="A32" s="35" t="s">
        <v>101</v>
      </c>
      <c r="B32" s="36">
        <v>11</v>
      </c>
      <c r="C32" s="36">
        <v>3.4</v>
      </c>
      <c r="D32" s="36">
        <v>23.2</v>
      </c>
      <c r="E32" s="36">
        <v>14.5</v>
      </c>
    </row>
    <row r="33" spans="1:5" x14ac:dyDescent="0.35">
      <c r="A33" s="35" t="s">
        <v>102</v>
      </c>
      <c r="B33" s="36">
        <v>33</v>
      </c>
      <c r="C33" s="36">
        <v>2.5</v>
      </c>
      <c r="D33" s="36">
        <v>19.5</v>
      </c>
      <c r="E33" s="36">
        <v>13</v>
      </c>
    </row>
    <row r="34" spans="1:5" x14ac:dyDescent="0.35">
      <c r="A34" s="35" t="s">
        <v>103</v>
      </c>
      <c r="B34" s="36">
        <v>12</v>
      </c>
      <c r="C34" s="36">
        <v>2</v>
      </c>
      <c r="D34" s="36">
        <v>25.2</v>
      </c>
      <c r="E34" s="36">
        <v>7.9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12" customWidth="1"/>
    <col min="3" max="4" width="14" customWidth="1"/>
    <col min="5" max="5" width="12" customWidth="1"/>
  </cols>
  <sheetData>
    <row r="1" spans="1:5" x14ac:dyDescent="0.35">
      <c r="A1" s="34" t="s">
        <v>105</v>
      </c>
      <c r="B1" s="34" t="s">
        <v>106</v>
      </c>
      <c r="C1" s="34" t="s">
        <v>110</v>
      </c>
      <c r="D1" s="34" t="s">
        <v>111</v>
      </c>
      <c r="E1" s="34" t="s">
        <v>112</v>
      </c>
    </row>
    <row r="2" spans="1:5" x14ac:dyDescent="0.35">
      <c r="A2" s="35" t="s">
        <v>95</v>
      </c>
      <c r="B2" s="36">
        <v>82</v>
      </c>
      <c r="C2" s="36">
        <v>100487</v>
      </c>
      <c r="D2" s="36">
        <v>925000</v>
      </c>
      <c r="E2" s="36">
        <v>1</v>
      </c>
    </row>
    <row r="3" spans="1:5" x14ac:dyDescent="0.35">
      <c r="A3" s="35" t="s">
        <v>97</v>
      </c>
      <c r="B3" s="36">
        <v>164</v>
      </c>
      <c r="C3" s="36">
        <v>47789</v>
      </c>
      <c r="D3" s="36">
        <v>280000</v>
      </c>
      <c r="E3" s="36">
        <v>2</v>
      </c>
    </row>
    <row r="4" spans="1:5" x14ac:dyDescent="0.35">
      <c r="A4" s="35" t="s">
        <v>76</v>
      </c>
      <c r="B4" s="36">
        <v>40</v>
      </c>
      <c r="C4" s="36">
        <v>45912</v>
      </c>
      <c r="D4" s="36">
        <v>180000</v>
      </c>
      <c r="E4" s="36">
        <v>3</v>
      </c>
    </row>
    <row r="5" spans="1:5" x14ac:dyDescent="0.35">
      <c r="A5" s="35" t="s">
        <v>77</v>
      </c>
      <c r="B5" s="36">
        <v>128</v>
      </c>
      <c r="C5" s="36">
        <v>45680</v>
      </c>
      <c r="D5" s="36">
        <v>375000</v>
      </c>
      <c r="E5" s="36">
        <v>4</v>
      </c>
    </row>
    <row r="6" spans="1:5" x14ac:dyDescent="0.35">
      <c r="A6" s="35" t="s">
        <v>70</v>
      </c>
      <c r="B6" s="36">
        <v>28</v>
      </c>
      <c r="C6" s="36">
        <v>44300</v>
      </c>
      <c r="D6" s="36">
        <v>350000</v>
      </c>
      <c r="E6" s="36">
        <v>5</v>
      </c>
    </row>
    <row r="7" spans="1:5" x14ac:dyDescent="0.35">
      <c r="A7" s="35" t="s">
        <v>79</v>
      </c>
      <c r="B7" s="36">
        <v>36</v>
      </c>
      <c r="C7" s="36">
        <v>43819</v>
      </c>
      <c r="D7" s="36">
        <v>243000</v>
      </c>
      <c r="E7" s="36">
        <v>6</v>
      </c>
    </row>
    <row r="8" spans="1:5" x14ac:dyDescent="0.35">
      <c r="A8" s="35" t="s">
        <v>94</v>
      </c>
      <c r="B8" s="36">
        <v>239</v>
      </c>
      <c r="C8" s="36">
        <v>41916</v>
      </c>
      <c r="D8" s="36">
        <v>280000</v>
      </c>
      <c r="E8" s="36">
        <v>7</v>
      </c>
    </row>
    <row r="9" spans="1:5" x14ac:dyDescent="0.35">
      <c r="A9" s="35" t="s">
        <v>98</v>
      </c>
      <c r="B9" s="36">
        <v>22</v>
      </c>
      <c r="C9" s="36">
        <v>40765</v>
      </c>
      <c r="D9" s="36">
        <v>185000</v>
      </c>
      <c r="E9" s="36">
        <v>8</v>
      </c>
    </row>
    <row r="10" spans="1:5" x14ac:dyDescent="0.35">
      <c r="A10" s="35" t="s">
        <v>82</v>
      </c>
      <c r="B10" s="36">
        <v>92</v>
      </c>
      <c r="C10" s="36">
        <v>40763</v>
      </c>
      <c r="D10" s="36">
        <v>187200</v>
      </c>
      <c r="E10" s="36">
        <v>9</v>
      </c>
    </row>
    <row r="11" spans="1:5" x14ac:dyDescent="0.35">
      <c r="A11" s="35" t="s">
        <v>99</v>
      </c>
      <c r="B11" s="36">
        <v>34</v>
      </c>
      <c r="C11" s="36">
        <v>37641</v>
      </c>
      <c r="D11" s="36">
        <v>125000</v>
      </c>
      <c r="E11" s="36">
        <v>10</v>
      </c>
    </row>
    <row r="12" spans="1:5" x14ac:dyDescent="0.35">
      <c r="A12" s="35" t="s">
        <v>74</v>
      </c>
      <c r="B12" s="36">
        <v>132</v>
      </c>
      <c r="C12" s="36">
        <v>36832</v>
      </c>
      <c r="D12" s="36">
        <v>218400</v>
      </c>
      <c r="E12" s="36">
        <v>11</v>
      </c>
    </row>
    <row r="13" spans="1:5" x14ac:dyDescent="0.35">
      <c r="A13" s="35" t="s">
        <v>78</v>
      </c>
      <c r="B13" s="36">
        <v>87</v>
      </c>
      <c r="C13" s="36">
        <v>35136</v>
      </c>
      <c r="D13" s="36">
        <v>185000</v>
      </c>
      <c r="E13" s="36">
        <v>12</v>
      </c>
    </row>
    <row r="14" spans="1:5" x14ac:dyDescent="0.35">
      <c r="A14" s="35" t="s">
        <v>69</v>
      </c>
      <c r="B14" s="36">
        <v>33</v>
      </c>
      <c r="C14" s="36">
        <v>34979</v>
      </c>
      <c r="D14" s="36">
        <v>160500</v>
      </c>
      <c r="E14" s="36">
        <v>13</v>
      </c>
    </row>
    <row r="15" spans="1:5" x14ac:dyDescent="0.35">
      <c r="A15" s="35" t="s">
        <v>86</v>
      </c>
      <c r="B15" s="36">
        <v>71</v>
      </c>
      <c r="C15" s="36">
        <v>34239</v>
      </c>
      <c r="D15" s="36">
        <v>196600</v>
      </c>
      <c r="E15" s="36">
        <v>14</v>
      </c>
    </row>
    <row r="16" spans="1:5" x14ac:dyDescent="0.35">
      <c r="A16" s="35" t="s">
        <v>96</v>
      </c>
      <c r="B16" s="36">
        <v>21</v>
      </c>
      <c r="C16" s="36">
        <v>32552</v>
      </c>
      <c r="D16" s="36">
        <v>218400</v>
      </c>
      <c r="E16" s="36">
        <v>15</v>
      </c>
    </row>
    <row r="17" spans="1:5" x14ac:dyDescent="0.35">
      <c r="A17" s="35" t="s">
        <v>75</v>
      </c>
      <c r="B17" s="36">
        <v>126</v>
      </c>
      <c r="C17" s="36">
        <v>32110</v>
      </c>
      <c r="D17" s="36">
        <v>175000</v>
      </c>
      <c r="E17" s="36">
        <v>16</v>
      </c>
    </row>
    <row r="18" spans="1:5" x14ac:dyDescent="0.35">
      <c r="A18" s="35" t="s">
        <v>73</v>
      </c>
      <c r="B18" s="36">
        <v>349</v>
      </c>
      <c r="C18" s="36">
        <v>32078</v>
      </c>
      <c r="D18" s="36">
        <v>210000</v>
      </c>
      <c r="E18" s="36">
        <v>17</v>
      </c>
    </row>
    <row r="19" spans="1:5" x14ac:dyDescent="0.35">
      <c r="A19" s="35" t="s">
        <v>71</v>
      </c>
      <c r="B19" s="36">
        <v>676</v>
      </c>
      <c r="C19" s="36">
        <v>30526</v>
      </c>
      <c r="D19" s="36">
        <v>290913</v>
      </c>
      <c r="E19" s="36">
        <v>18</v>
      </c>
    </row>
    <row r="20" spans="1:5" x14ac:dyDescent="0.35">
      <c r="A20" s="35" t="s">
        <v>80</v>
      </c>
      <c r="B20" s="36">
        <v>57</v>
      </c>
      <c r="C20" s="36">
        <v>28882</v>
      </c>
      <c r="D20" s="36">
        <v>172500</v>
      </c>
      <c r="E20" s="36">
        <v>19</v>
      </c>
    </row>
    <row r="21" spans="1:5" x14ac:dyDescent="0.35">
      <c r="A21" s="35" t="s">
        <v>81</v>
      </c>
      <c r="B21" s="36">
        <v>523</v>
      </c>
      <c r="C21" s="36">
        <v>27310</v>
      </c>
      <c r="D21" s="36">
        <v>375000</v>
      </c>
      <c r="E21" s="36">
        <v>20</v>
      </c>
    </row>
    <row r="22" spans="1:5" x14ac:dyDescent="0.35">
      <c r="A22" s="35" t="s">
        <v>100</v>
      </c>
      <c r="B22" s="36">
        <v>64</v>
      </c>
      <c r="C22" s="36">
        <v>26207</v>
      </c>
      <c r="D22" s="36">
        <v>120000</v>
      </c>
      <c r="E22" s="36">
        <v>21</v>
      </c>
    </row>
    <row r="23" spans="1:5" x14ac:dyDescent="0.35">
      <c r="A23" s="35" t="s">
        <v>83</v>
      </c>
      <c r="B23" s="36">
        <v>368</v>
      </c>
      <c r="C23" s="36">
        <v>26054</v>
      </c>
      <c r="D23" s="36">
        <v>280000</v>
      </c>
      <c r="E23" s="36">
        <v>22</v>
      </c>
    </row>
    <row r="24" spans="1:5" x14ac:dyDescent="0.35">
      <c r="A24" s="35" t="s">
        <v>85</v>
      </c>
      <c r="B24" s="36">
        <v>40</v>
      </c>
      <c r="C24" s="36">
        <v>25957</v>
      </c>
      <c r="D24" s="36">
        <v>122500</v>
      </c>
      <c r="E24" s="36">
        <v>23</v>
      </c>
    </row>
    <row r="25" spans="1:5" x14ac:dyDescent="0.35">
      <c r="A25" s="35" t="s">
        <v>87</v>
      </c>
      <c r="B25" s="36">
        <v>137</v>
      </c>
      <c r="C25" s="36">
        <v>23615</v>
      </c>
      <c r="D25" s="36">
        <v>167500</v>
      </c>
      <c r="E25" s="36">
        <v>24</v>
      </c>
    </row>
    <row r="26" spans="1:5" x14ac:dyDescent="0.35">
      <c r="A26" s="35" t="s">
        <v>90</v>
      </c>
      <c r="B26" s="36">
        <v>55</v>
      </c>
      <c r="C26" s="36">
        <v>21671</v>
      </c>
      <c r="D26" s="36">
        <v>186750</v>
      </c>
      <c r="E26" s="36">
        <v>25</v>
      </c>
    </row>
    <row r="27" spans="1:5" x14ac:dyDescent="0.35">
      <c r="A27" s="35" t="s">
        <v>67</v>
      </c>
      <c r="B27" s="36">
        <v>28</v>
      </c>
      <c r="C27" s="36">
        <v>21457</v>
      </c>
      <c r="D27" s="36">
        <v>160775</v>
      </c>
      <c r="E27" s="36">
        <v>26</v>
      </c>
    </row>
    <row r="28" spans="1:5" x14ac:dyDescent="0.35">
      <c r="A28" s="35" t="s">
        <v>93</v>
      </c>
      <c r="B28" s="36">
        <v>300</v>
      </c>
      <c r="C28" s="36">
        <v>20296</v>
      </c>
      <c r="D28" s="36">
        <v>230000</v>
      </c>
      <c r="E28" s="36">
        <v>27</v>
      </c>
    </row>
    <row r="29" spans="1:5" x14ac:dyDescent="0.35">
      <c r="A29" s="35" t="s">
        <v>102</v>
      </c>
      <c r="B29" s="36">
        <v>417</v>
      </c>
      <c r="C29" s="36">
        <v>19964</v>
      </c>
      <c r="D29" s="36">
        <v>557500</v>
      </c>
      <c r="E29" s="36">
        <v>28</v>
      </c>
    </row>
    <row r="30" spans="1:5" x14ac:dyDescent="0.35">
      <c r="A30" s="35" t="s">
        <v>89</v>
      </c>
      <c r="B30" s="36">
        <v>564</v>
      </c>
      <c r="C30" s="36">
        <v>19117</v>
      </c>
      <c r="D30" s="36">
        <v>350000</v>
      </c>
      <c r="E30" s="36">
        <v>29</v>
      </c>
    </row>
    <row r="31" spans="1:5" x14ac:dyDescent="0.35">
      <c r="A31" s="35" t="s">
        <v>88</v>
      </c>
      <c r="B31" s="36">
        <v>51</v>
      </c>
      <c r="C31" s="36">
        <v>18022</v>
      </c>
      <c r="D31" s="36">
        <v>124800</v>
      </c>
      <c r="E31" s="36">
        <v>30</v>
      </c>
    </row>
    <row r="32" spans="1:5" x14ac:dyDescent="0.35">
      <c r="A32" s="35" t="s">
        <v>103</v>
      </c>
      <c r="B32" s="36">
        <v>54</v>
      </c>
      <c r="C32" s="36">
        <v>16335</v>
      </c>
      <c r="D32" s="36">
        <v>95000</v>
      </c>
      <c r="E32" s="36">
        <v>31</v>
      </c>
    </row>
    <row r="33" spans="1:5" x14ac:dyDescent="0.35">
      <c r="A33" s="35" t="s">
        <v>91</v>
      </c>
      <c r="B33" s="36">
        <v>507</v>
      </c>
      <c r="C33" s="36">
        <v>14002</v>
      </c>
      <c r="D33" s="36">
        <v>215000</v>
      </c>
      <c r="E33" s="36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12" customWidth="1"/>
    <col min="3" max="3" width="14" customWidth="1"/>
    <col min="4" max="4" width="16" customWidth="1"/>
    <col min="5" max="6" width="18" customWidth="1"/>
  </cols>
  <sheetData>
    <row r="1" spans="1:6" x14ac:dyDescent="0.35">
      <c r="A1" s="34" t="s">
        <v>105</v>
      </c>
      <c r="B1" s="34" t="s">
        <v>106</v>
      </c>
      <c r="C1" s="34" t="s">
        <v>110</v>
      </c>
      <c r="D1" s="34" t="s">
        <v>107</v>
      </c>
      <c r="E1" s="34" t="s">
        <v>113</v>
      </c>
      <c r="F1" s="34" t="s">
        <v>114</v>
      </c>
    </row>
    <row r="2" spans="1:6" x14ac:dyDescent="0.35">
      <c r="A2" s="35" t="s">
        <v>102</v>
      </c>
      <c r="B2" s="36">
        <v>33</v>
      </c>
      <c r="C2" s="36">
        <v>54403</v>
      </c>
      <c r="D2" s="36">
        <v>2.5</v>
      </c>
      <c r="E2" s="36">
        <v>21373</v>
      </c>
      <c r="F2" s="36" t="s">
        <v>115</v>
      </c>
    </row>
    <row r="3" spans="1:6" x14ac:dyDescent="0.35">
      <c r="A3" s="35" t="s">
        <v>95</v>
      </c>
      <c r="B3" s="36">
        <v>29</v>
      </c>
      <c r="C3" s="36">
        <v>80655</v>
      </c>
      <c r="D3" s="36">
        <v>4.2</v>
      </c>
      <c r="E3" s="36">
        <v>19331</v>
      </c>
      <c r="F3" s="36" t="s">
        <v>115</v>
      </c>
    </row>
    <row r="4" spans="1:6" x14ac:dyDescent="0.35">
      <c r="A4" s="35" t="s">
        <v>99</v>
      </c>
      <c r="B4" s="36">
        <v>12</v>
      </c>
      <c r="C4" s="36">
        <v>53602</v>
      </c>
      <c r="D4" s="36">
        <v>4</v>
      </c>
      <c r="E4" s="36">
        <v>13400</v>
      </c>
      <c r="F4" s="36" t="s">
        <v>115</v>
      </c>
    </row>
    <row r="5" spans="1:6" x14ac:dyDescent="0.35">
      <c r="A5" s="35" t="s">
        <v>97</v>
      </c>
      <c r="B5" s="36">
        <v>64</v>
      </c>
      <c r="C5" s="36">
        <v>55178</v>
      </c>
      <c r="D5" s="36">
        <v>4.0999999999999996</v>
      </c>
      <c r="E5" s="36">
        <v>13376</v>
      </c>
      <c r="F5" s="36" t="s">
        <v>115</v>
      </c>
    </row>
    <row r="6" spans="1:6" x14ac:dyDescent="0.35">
      <c r="A6" s="35" t="s">
        <v>94</v>
      </c>
      <c r="B6" s="36">
        <v>81</v>
      </c>
      <c r="C6" s="36">
        <v>49105</v>
      </c>
      <c r="D6" s="36">
        <v>4.3</v>
      </c>
      <c r="E6" s="36">
        <v>11529</v>
      </c>
      <c r="F6" s="36" t="s">
        <v>115</v>
      </c>
    </row>
    <row r="7" spans="1:6" x14ac:dyDescent="0.35">
      <c r="A7" s="35" t="s">
        <v>98</v>
      </c>
      <c r="B7" s="36">
        <v>13</v>
      </c>
      <c r="C7" s="36">
        <v>41011</v>
      </c>
      <c r="D7" s="36">
        <v>4</v>
      </c>
      <c r="E7" s="36">
        <v>10253</v>
      </c>
      <c r="F7" s="36" t="s">
        <v>115</v>
      </c>
    </row>
    <row r="8" spans="1:6" x14ac:dyDescent="0.35">
      <c r="A8" s="35" t="s">
        <v>96</v>
      </c>
      <c r="B8" s="36">
        <v>11</v>
      </c>
      <c r="C8" s="36">
        <v>40491</v>
      </c>
      <c r="D8" s="36">
        <v>4.2</v>
      </c>
      <c r="E8" s="36">
        <v>9683</v>
      </c>
      <c r="F8" s="36" t="s">
        <v>115</v>
      </c>
    </row>
    <row r="9" spans="1:6" x14ac:dyDescent="0.35">
      <c r="A9" s="35" t="s">
        <v>100</v>
      </c>
      <c r="B9" s="36">
        <v>25</v>
      </c>
      <c r="C9" s="36">
        <v>33741</v>
      </c>
      <c r="D9" s="36">
        <v>3.8</v>
      </c>
      <c r="E9" s="36">
        <v>8787</v>
      </c>
      <c r="F9" s="36" t="s">
        <v>116</v>
      </c>
    </row>
    <row r="10" spans="1:6" x14ac:dyDescent="0.35">
      <c r="A10" s="35" t="s">
        <v>93</v>
      </c>
      <c r="B10" s="36">
        <v>55</v>
      </c>
      <c r="C10" s="36">
        <v>33666</v>
      </c>
      <c r="D10" s="36">
        <v>4.5</v>
      </c>
      <c r="E10" s="36">
        <v>7527</v>
      </c>
      <c r="F10" s="36" t="s">
        <v>116</v>
      </c>
    </row>
    <row r="11" spans="1:6" x14ac:dyDescent="0.35">
      <c r="A11" s="35" t="s">
        <v>82</v>
      </c>
      <c r="B11" s="36">
        <v>46</v>
      </c>
      <c r="C11" s="36">
        <v>49164</v>
      </c>
      <c r="D11" s="36">
        <v>8</v>
      </c>
      <c r="E11" s="36">
        <v>6179</v>
      </c>
      <c r="F11" s="36" t="s">
        <v>115</v>
      </c>
    </row>
    <row r="12" spans="1:6" x14ac:dyDescent="0.35">
      <c r="A12" s="35" t="s">
        <v>83</v>
      </c>
      <c r="B12" s="36">
        <v>103</v>
      </c>
      <c r="C12" s="36">
        <v>46426</v>
      </c>
      <c r="D12" s="36">
        <v>7.9</v>
      </c>
      <c r="E12" s="36">
        <v>5860</v>
      </c>
      <c r="F12" s="36" t="s">
        <v>115</v>
      </c>
    </row>
    <row r="13" spans="1:6" x14ac:dyDescent="0.35">
      <c r="A13" s="35" t="s">
        <v>85</v>
      </c>
      <c r="B13" s="36">
        <v>19</v>
      </c>
      <c r="C13" s="36">
        <v>44023</v>
      </c>
      <c r="D13" s="36">
        <v>7.6</v>
      </c>
      <c r="E13" s="36">
        <v>5768</v>
      </c>
      <c r="F13" s="36" t="s">
        <v>115</v>
      </c>
    </row>
    <row r="14" spans="1:6" x14ac:dyDescent="0.35">
      <c r="A14" s="35" t="s">
        <v>77</v>
      </c>
      <c r="B14" s="36">
        <v>66</v>
      </c>
      <c r="C14" s="36">
        <v>55532</v>
      </c>
      <c r="D14" s="36">
        <v>9.9</v>
      </c>
      <c r="E14" s="36">
        <v>5630</v>
      </c>
      <c r="F14" s="36" t="s">
        <v>117</v>
      </c>
    </row>
    <row r="15" spans="1:6" x14ac:dyDescent="0.35">
      <c r="A15" s="35" t="s">
        <v>86</v>
      </c>
      <c r="B15" s="36">
        <v>34</v>
      </c>
      <c r="C15" s="36">
        <v>39314</v>
      </c>
      <c r="D15" s="36">
        <v>7</v>
      </c>
      <c r="E15" s="36">
        <v>5616</v>
      </c>
      <c r="F15" s="36" t="s">
        <v>118</v>
      </c>
    </row>
    <row r="16" spans="1:6" x14ac:dyDescent="0.35">
      <c r="A16" s="35" t="s">
        <v>89</v>
      </c>
      <c r="B16" s="36">
        <v>102</v>
      </c>
      <c r="C16" s="36">
        <v>30458</v>
      </c>
      <c r="D16" s="36">
        <v>5.6</v>
      </c>
      <c r="E16" s="36">
        <v>5450</v>
      </c>
      <c r="F16" s="36" t="s">
        <v>118</v>
      </c>
    </row>
    <row r="17" spans="1:6" x14ac:dyDescent="0.35">
      <c r="A17" s="35" t="s">
        <v>91</v>
      </c>
      <c r="B17" s="36">
        <v>95</v>
      </c>
      <c r="C17" s="36">
        <v>23737</v>
      </c>
      <c r="D17" s="36">
        <v>4.7</v>
      </c>
      <c r="E17" s="36">
        <v>5045</v>
      </c>
      <c r="F17" s="36" t="s">
        <v>116</v>
      </c>
    </row>
    <row r="18" spans="1:6" x14ac:dyDescent="0.35">
      <c r="A18" s="35" t="s">
        <v>81</v>
      </c>
      <c r="B18" s="36">
        <v>163</v>
      </c>
      <c r="C18" s="36">
        <v>42538</v>
      </c>
      <c r="D18" s="36">
        <v>8.5</v>
      </c>
      <c r="E18" s="36">
        <v>5010</v>
      </c>
      <c r="F18" s="36" t="s">
        <v>117</v>
      </c>
    </row>
    <row r="19" spans="1:6" x14ac:dyDescent="0.35">
      <c r="A19" s="35" t="s">
        <v>79</v>
      </c>
      <c r="B19" s="36">
        <v>26</v>
      </c>
      <c r="C19" s="36">
        <v>46418</v>
      </c>
      <c r="D19" s="36">
        <v>9.3000000000000007</v>
      </c>
      <c r="E19" s="36">
        <v>5008</v>
      </c>
      <c r="F19" s="36" t="s">
        <v>117</v>
      </c>
    </row>
    <row r="20" spans="1:6" x14ac:dyDescent="0.35">
      <c r="A20" s="35" t="s">
        <v>87</v>
      </c>
      <c r="B20" s="36">
        <v>48</v>
      </c>
      <c r="C20" s="36">
        <v>30396</v>
      </c>
      <c r="D20" s="36">
        <v>6.2</v>
      </c>
      <c r="E20" s="36">
        <v>4896</v>
      </c>
      <c r="F20" s="36" t="s">
        <v>118</v>
      </c>
    </row>
    <row r="21" spans="1:6" x14ac:dyDescent="0.35">
      <c r="A21" s="35" t="s">
        <v>90</v>
      </c>
      <c r="B21" s="36">
        <v>13</v>
      </c>
      <c r="C21" s="36">
        <v>23596</v>
      </c>
      <c r="D21" s="36">
        <v>5</v>
      </c>
      <c r="E21" s="36">
        <v>4719</v>
      </c>
      <c r="F21" s="36" t="s">
        <v>118</v>
      </c>
    </row>
    <row r="22" spans="1:6" x14ac:dyDescent="0.35">
      <c r="A22" s="35" t="s">
        <v>76</v>
      </c>
      <c r="B22" s="36">
        <v>19</v>
      </c>
      <c r="C22" s="36">
        <v>48094</v>
      </c>
      <c r="D22" s="36">
        <v>10.8</v>
      </c>
      <c r="E22" s="36">
        <v>4458</v>
      </c>
      <c r="F22" s="36" t="s">
        <v>117</v>
      </c>
    </row>
    <row r="23" spans="1:6" x14ac:dyDescent="0.35">
      <c r="A23" s="35" t="s">
        <v>78</v>
      </c>
      <c r="B23" s="36">
        <v>41</v>
      </c>
      <c r="C23" s="36">
        <v>37469</v>
      </c>
      <c r="D23" s="36">
        <v>9.4</v>
      </c>
      <c r="E23" s="36">
        <v>4001</v>
      </c>
      <c r="F23" s="36" t="s">
        <v>118</v>
      </c>
    </row>
    <row r="24" spans="1:6" x14ac:dyDescent="0.35">
      <c r="A24" s="35" t="s">
        <v>103</v>
      </c>
      <c r="B24" s="36">
        <v>12</v>
      </c>
      <c r="C24" s="36">
        <v>7917</v>
      </c>
      <c r="D24" s="36">
        <v>2</v>
      </c>
      <c r="E24" s="36">
        <v>3958</v>
      </c>
      <c r="F24" s="36" t="s">
        <v>116</v>
      </c>
    </row>
    <row r="25" spans="1:6" x14ac:dyDescent="0.35">
      <c r="A25" s="35" t="s">
        <v>75</v>
      </c>
      <c r="B25" s="36">
        <v>55</v>
      </c>
      <c r="C25" s="36">
        <v>38233</v>
      </c>
      <c r="D25" s="36">
        <v>10.9</v>
      </c>
      <c r="E25" s="36">
        <v>3516</v>
      </c>
      <c r="F25" s="36" t="s">
        <v>118</v>
      </c>
    </row>
    <row r="26" spans="1:6" x14ac:dyDescent="0.35">
      <c r="A26" s="35" t="s">
        <v>70</v>
      </c>
      <c r="B26" s="36">
        <v>13</v>
      </c>
      <c r="C26" s="36">
        <v>57443</v>
      </c>
      <c r="D26" s="36">
        <v>16.5</v>
      </c>
      <c r="E26" s="36">
        <v>3490</v>
      </c>
      <c r="F26" s="36" t="s">
        <v>117</v>
      </c>
    </row>
    <row r="27" spans="1:6" x14ac:dyDescent="0.35">
      <c r="A27" s="35" t="s">
        <v>73</v>
      </c>
      <c r="B27" s="36">
        <v>146</v>
      </c>
      <c r="C27" s="36">
        <v>40553</v>
      </c>
      <c r="D27" s="36">
        <v>13.7</v>
      </c>
      <c r="E27" s="36">
        <v>2965</v>
      </c>
      <c r="F27" s="36" t="s">
        <v>117</v>
      </c>
    </row>
    <row r="28" spans="1:6" x14ac:dyDescent="0.35">
      <c r="A28" s="35" t="s">
        <v>74</v>
      </c>
      <c r="B28" s="36">
        <v>60</v>
      </c>
      <c r="C28" s="36">
        <v>34877</v>
      </c>
      <c r="D28" s="36">
        <v>12.3</v>
      </c>
      <c r="E28" s="36">
        <v>2828</v>
      </c>
      <c r="F28" s="36" t="s">
        <v>118</v>
      </c>
    </row>
    <row r="29" spans="1:6" x14ac:dyDescent="0.35">
      <c r="A29" s="35" t="s">
        <v>88</v>
      </c>
      <c r="B29" s="36">
        <v>22</v>
      </c>
      <c r="C29" s="36">
        <v>17137</v>
      </c>
      <c r="D29" s="36">
        <v>6.2</v>
      </c>
      <c r="E29" s="36">
        <v>2772</v>
      </c>
      <c r="F29" s="36" t="s">
        <v>118</v>
      </c>
    </row>
    <row r="30" spans="1:6" x14ac:dyDescent="0.35">
      <c r="A30" s="35" t="s">
        <v>80</v>
      </c>
      <c r="B30" s="36">
        <v>29</v>
      </c>
      <c r="C30" s="36">
        <v>24874</v>
      </c>
      <c r="D30" s="36">
        <v>9.3000000000000007</v>
      </c>
      <c r="E30" s="36">
        <v>2672</v>
      </c>
      <c r="F30" s="36" t="s">
        <v>118</v>
      </c>
    </row>
    <row r="31" spans="1:6" x14ac:dyDescent="0.35">
      <c r="A31" s="35" t="s">
        <v>71</v>
      </c>
      <c r="B31" s="36">
        <v>298</v>
      </c>
      <c r="C31" s="36">
        <v>35355</v>
      </c>
      <c r="D31" s="36">
        <v>14.2</v>
      </c>
      <c r="E31" s="36">
        <v>2484</v>
      </c>
      <c r="F31" s="36" t="s">
        <v>118</v>
      </c>
    </row>
    <row r="32" spans="1:6" x14ac:dyDescent="0.35">
      <c r="A32" s="35" t="s">
        <v>101</v>
      </c>
      <c r="B32" s="36">
        <v>11</v>
      </c>
      <c r="C32" s="36">
        <v>8318</v>
      </c>
      <c r="D32" s="36">
        <v>3.4</v>
      </c>
      <c r="E32" s="36">
        <v>2473</v>
      </c>
      <c r="F32" s="36" t="s">
        <v>116</v>
      </c>
    </row>
    <row r="33" spans="1:6" x14ac:dyDescent="0.35">
      <c r="A33" s="35" t="s">
        <v>69</v>
      </c>
      <c r="B33" s="36">
        <v>17</v>
      </c>
      <c r="C33" s="36">
        <v>35947</v>
      </c>
      <c r="D33" s="36">
        <v>17</v>
      </c>
      <c r="E33" s="36">
        <v>2115</v>
      </c>
      <c r="F33" s="36" t="s">
        <v>118</v>
      </c>
    </row>
    <row r="34" spans="1:6" x14ac:dyDescent="0.35">
      <c r="A34" s="35" t="s">
        <v>67</v>
      </c>
      <c r="B34" s="36">
        <v>12</v>
      </c>
      <c r="C34" s="36">
        <v>32358</v>
      </c>
      <c r="D34" s="36">
        <v>43.8</v>
      </c>
      <c r="E34" s="36">
        <v>738</v>
      </c>
      <c r="F34" s="36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30" customWidth="1"/>
    <col min="2" max="2" width="18" customWidth="1"/>
    <col min="3" max="3" width="16" customWidth="1"/>
    <col min="4" max="4" width="18" customWidth="1"/>
    <col min="5" max="5" width="16" customWidth="1"/>
    <col min="6" max="6" width="4" customWidth="1"/>
  </cols>
  <sheetData>
    <row r="1" spans="1:6" ht="39.75" customHeight="1" x14ac:dyDescent="0.35">
      <c r="A1" s="6" t="s">
        <v>119</v>
      </c>
      <c r="B1" s="6"/>
      <c r="C1" s="6"/>
      <c r="D1" s="6"/>
      <c r="E1" s="6"/>
      <c r="F1" s="6"/>
    </row>
    <row r="2" spans="1:6" ht="15.75" customHeight="1" x14ac:dyDescent="0.35">
      <c r="A2" s="4" t="s">
        <v>120</v>
      </c>
      <c r="B2" s="4"/>
      <c r="C2" s="4"/>
      <c r="D2" s="4"/>
      <c r="E2" s="4"/>
      <c r="F2" s="4"/>
    </row>
    <row r="3" spans="1:6" ht="9.75" customHeight="1" x14ac:dyDescent="0.35"/>
    <row r="4" spans="1:6" ht="19.5" customHeight="1" x14ac:dyDescent="0.35">
      <c r="A4" s="21" t="s">
        <v>61</v>
      </c>
      <c r="B4" s="21" t="s">
        <v>121</v>
      </c>
      <c r="C4" s="21" t="s">
        <v>122</v>
      </c>
      <c r="D4" s="21" t="s">
        <v>123</v>
      </c>
      <c r="E4" s="21" t="s">
        <v>124</v>
      </c>
    </row>
    <row r="5" spans="1:6" ht="18" customHeight="1" x14ac:dyDescent="0.35">
      <c r="A5" s="31" t="s">
        <v>95</v>
      </c>
      <c r="B5" s="32">
        <v>4.2</v>
      </c>
      <c r="C5" s="37">
        <v>80655</v>
      </c>
      <c r="D5" s="32" t="s">
        <v>115</v>
      </c>
      <c r="E5" s="32">
        <v>19331</v>
      </c>
    </row>
    <row r="6" spans="1:6" ht="18" customHeight="1" x14ac:dyDescent="0.35">
      <c r="A6" s="38" t="s">
        <v>70</v>
      </c>
      <c r="B6" s="39">
        <v>16.5</v>
      </c>
      <c r="C6" s="40">
        <v>57443</v>
      </c>
      <c r="D6" s="39" t="s">
        <v>117</v>
      </c>
      <c r="E6" s="39">
        <v>3490</v>
      </c>
    </row>
    <row r="7" spans="1:6" ht="18" customHeight="1" x14ac:dyDescent="0.35">
      <c r="A7" s="38" t="s">
        <v>77</v>
      </c>
      <c r="B7" s="39">
        <v>9.9</v>
      </c>
      <c r="C7" s="40">
        <v>55532</v>
      </c>
      <c r="D7" s="39" t="s">
        <v>117</v>
      </c>
      <c r="E7" s="39">
        <v>5630</v>
      </c>
    </row>
    <row r="8" spans="1:6" ht="18" customHeight="1" x14ac:dyDescent="0.35">
      <c r="A8" s="31" t="s">
        <v>97</v>
      </c>
      <c r="B8" s="32">
        <v>4.0999999999999996</v>
      </c>
      <c r="C8" s="37">
        <v>55178</v>
      </c>
      <c r="D8" s="32" t="s">
        <v>115</v>
      </c>
      <c r="E8" s="32">
        <v>13376</v>
      </c>
    </row>
    <row r="9" spans="1:6" ht="18" customHeight="1" x14ac:dyDescent="0.35">
      <c r="A9" s="31" t="s">
        <v>102</v>
      </c>
      <c r="B9" s="32">
        <v>2.5</v>
      </c>
      <c r="C9" s="37">
        <v>54403</v>
      </c>
      <c r="D9" s="32" t="s">
        <v>115</v>
      </c>
      <c r="E9" s="32">
        <v>21373</v>
      </c>
    </row>
    <row r="10" spans="1:6" ht="18" customHeight="1" x14ac:dyDescent="0.35">
      <c r="A10" s="31" t="s">
        <v>99</v>
      </c>
      <c r="B10" s="32">
        <v>4</v>
      </c>
      <c r="C10" s="37">
        <v>53602</v>
      </c>
      <c r="D10" s="32" t="s">
        <v>115</v>
      </c>
      <c r="E10" s="32">
        <v>13400</v>
      </c>
    </row>
    <row r="11" spans="1:6" ht="18" customHeight="1" x14ac:dyDescent="0.35">
      <c r="A11" s="31" t="s">
        <v>82</v>
      </c>
      <c r="B11" s="32">
        <v>8</v>
      </c>
      <c r="C11" s="37">
        <v>49164</v>
      </c>
      <c r="D11" s="32" t="s">
        <v>115</v>
      </c>
      <c r="E11" s="32">
        <v>6179</v>
      </c>
    </row>
    <row r="12" spans="1:6" ht="18" customHeight="1" x14ac:dyDescent="0.35">
      <c r="A12" s="31" t="s">
        <v>94</v>
      </c>
      <c r="B12" s="32">
        <v>4.3</v>
      </c>
      <c r="C12" s="37">
        <v>49105</v>
      </c>
      <c r="D12" s="32" t="s">
        <v>115</v>
      </c>
      <c r="E12" s="32">
        <v>11529</v>
      </c>
    </row>
    <row r="13" spans="1:6" ht="18" customHeight="1" x14ac:dyDescent="0.35">
      <c r="A13" s="38" t="s">
        <v>76</v>
      </c>
      <c r="B13" s="39">
        <v>10.8</v>
      </c>
      <c r="C13" s="40">
        <v>48094</v>
      </c>
      <c r="D13" s="39" t="s">
        <v>117</v>
      </c>
      <c r="E13" s="39">
        <v>4458</v>
      </c>
    </row>
    <row r="14" spans="1:6" ht="18" customHeight="1" x14ac:dyDescent="0.35">
      <c r="A14" s="31" t="s">
        <v>83</v>
      </c>
      <c r="B14" s="32">
        <v>7.9</v>
      </c>
      <c r="C14" s="37">
        <v>46426</v>
      </c>
      <c r="D14" s="32" t="s">
        <v>115</v>
      </c>
      <c r="E14" s="32">
        <v>5860</v>
      </c>
    </row>
    <row r="15" spans="1:6" ht="18" customHeight="1" x14ac:dyDescent="0.35">
      <c r="A15" s="38" t="s">
        <v>79</v>
      </c>
      <c r="B15" s="39">
        <v>9.3000000000000007</v>
      </c>
      <c r="C15" s="40">
        <v>46418</v>
      </c>
      <c r="D15" s="39" t="s">
        <v>117</v>
      </c>
      <c r="E15" s="39">
        <v>5008</v>
      </c>
    </row>
    <row r="16" spans="1:6" ht="18" customHeight="1" x14ac:dyDescent="0.35">
      <c r="A16" s="31" t="s">
        <v>85</v>
      </c>
      <c r="B16" s="32">
        <v>7.6</v>
      </c>
      <c r="C16" s="37">
        <v>44023</v>
      </c>
      <c r="D16" s="32" t="s">
        <v>115</v>
      </c>
      <c r="E16" s="32">
        <v>5768</v>
      </c>
    </row>
    <row r="17" spans="1:5" ht="18" customHeight="1" x14ac:dyDescent="0.35">
      <c r="A17" s="38" t="s">
        <v>81</v>
      </c>
      <c r="B17" s="39">
        <v>8.5</v>
      </c>
      <c r="C17" s="40">
        <v>42538</v>
      </c>
      <c r="D17" s="39" t="s">
        <v>117</v>
      </c>
      <c r="E17" s="39">
        <v>5010</v>
      </c>
    </row>
    <row r="18" spans="1:5" ht="18" customHeight="1" x14ac:dyDescent="0.35">
      <c r="A18" s="31" t="s">
        <v>98</v>
      </c>
      <c r="B18" s="32">
        <v>4</v>
      </c>
      <c r="C18" s="37">
        <v>41011</v>
      </c>
      <c r="D18" s="32" t="s">
        <v>115</v>
      </c>
      <c r="E18" s="32">
        <v>10253</v>
      </c>
    </row>
    <row r="19" spans="1:5" ht="18" customHeight="1" x14ac:dyDescent="0.35">
      <c r="A19" s="38" t="s">
        <v>73</v>
      </c>
      <c r="B19" s="39">
        <v>13.7</v>
      </c>
      <c r="C19" s="40">
        <v>40553</v>
      </c>
      <c r="D19" s="39" t="s">
        <v>117</v>
      </c>
      <c r="E19" s="39">
        <v>2965</v>
      </c>
    </row>
    <row r="20" spans="1:5" ht="18" customHeight="1" x14ac:dyDescent="0.35">
      <c r="A20" s="31" t="s">
        <v>96</v>
      </c>
      <c r="B20" s="32">
        <v>4.2</v>
      </c>
      <c r="C20" s="37">
        <v>40491</v>
      </c>
      <c r="D20" s="32" t="s">
        <v>115</v>
      </c>
      <c r="E20" s="32">
        <v>9683</v>
      </c>
    </row>
    <row r="21" spans="1:5" ht="18" customHeight="1" x14ac:dyDescent="0.35">
      <c r="A21" s="41" t="s">
        <v>86</v>
      </c>
      <c r="B21" s="42">
        <v>7</v>
      </c>
      <c r="C21" s="43">
        <v>39314</v>
      </c>
      <c r="D21" s="42" t="s">
        <v>118</v>
      </c>
      <c r="E21" s="42">
        <v>5616</v>
      </c>
    </row>
    <row r="22" spans="1:5" ht="18" customHeight="1" x14ac:dyDescent="0.35">
      <c r="A22" s="44" t="s">
        <v>75</v>
      </c>
      <c r="B22" s="45">
        <v>10.9</v>
      </c>
      <c r="C22" s="46">
        <v>38233</v>
      </c>
      <c r="D22" s="45" t="s">
        <v>118</v>
      </c>
      <c r="E22" s="45">
        <v>3516</v>
      </c>
    </row>
    <row r="23" spans="1:5" ht="18" customHeight="1" x14ac:dyDescent="0.35">
      <c r="A23" s="41" t="s">
        <v>78</v>
      </c>
      <c r="B23" s="42">
        <v>9.4</v>
      </c>
      <c r="C23" s="43">
        <v>37469</v>
      </c>
      <c r="D23" s="42" t="s">
        <v>118</v>
      </c>
      <c r="E23" s="42">
        <v>4001</v>
      </c>
    </row>
    <row r="24" spans="1:5" ht="18" customHeight="1" x14ac:dyDescent="0.35">
      <c r="A24" s="44" t="s">
        <v>69</v>
      </c>
      <c r="B24" s="45">
        <v>17</v>
      </c>
      <c r="C24" s="46">
        <v>35947</v>
      </c>
      <c r="D24" s="45" t="s">
        <v>118</v>
      </c>
      <c r="E24" s="45">
        <v>2115</v>
      </c>
    </row>
    <row r="25" spans="1:5" ht="18" customHeight="1" x14ac:dyDescent="0.35">
      <c r="A25" s="41" t="s">
        <v>71</v>
      </c>
      <c r="B25" s="42">
        <v>14.2</v>
      </c>
      <c r="C25" s="43">
        <v>35355</v>
      </c>
      <c r="D25" s="42" t="s">
        <v>118</v>
      </c>
      <c r="E25" s="42">
        <v>2484</v>
      </c>
    </row>
    <row r="26" spans="1:5" ht="18" customHeight="1" x14ac:dyDescent="0.35">
      <c r="A26" s="44" t="s">
        <v>74</v>
      </c>
      <c r="B26" s="45">
        <v>12.3</v>
      </c>
      <c r="C26" s="46">
        <v>34877</v>
      </c>
      <c r="D26" s="45" t="s">
        <v>118</v>
      </c>
      <c r="E26" s="45">
        <v>2828</v>
      </c>
    </row>
    <row r="27" spans="1:5" ht="18" customHeight="1" x14ac:dyDescent="0.35">
      <c r="A27" s="25" t="s">
        <v>100</v>
      </c>
      <c r="B27" s="26">
        <v>3.8</v>
      </c>
      <c r="C27" s="47">
        <v>33741</v>
      </c>
      <c r="D27" s="26" t="s">
        <v>116</v>
      </c>
      <c r="E27" s="26">
        <v>8787</v>
      </c>
    </row>
    <row r="28" spans="1:5" ht="18" customHeight="1" x14ac:dyDescent="0.35">
      <c r="A28" s="25" t="s">
        <v>93</v>
      </c>
      <c r="B28" s="26">
        <v>4.5</v>
      </c>
      <c r="C28" s="47">
        <v>33666</v>
      </c>
      <c r="D28" s="26" t="s">
        <v>116</v>
      </c>
      <c r="E28" s="26">
        <v>7527</v>
      </c>
    </row>
    <row r="29" spans="1:5" ht="18" customHeight="1" x14ac:dyDescent="0.35">
      <c r="A29" s="41" t="s">
        <v>67</v>
      </c>
      <c r="B29" s="42">
        <v>43.8</v>
      </c>
      <c r="C29" s="43">
        <v>32358</v>
      </c>
      <c r="D29" s="42" t="s">
        <v>118</v>
      </c>
      <c r="E29" s="42">
        <v>738</v>
      </c>
    </row>
    <row r="30" spans="1:5" ht="18" customHeight="1" x14ac:dyDescent="0.35">
      <c r="A30" s="44" t="s">
        <v>89</v>
      </c>
      <c r="B30" s="45">
        <v>5.6</v>
      </c>
      <c r="C30" s="46">
        <v>30458</v>
      </c>
      <c r="D30" s="45" t="s">
        <v>118</v>
      </c>
      <c r="E30" s="45">
        <v>5450</v>
      </c>
    </row>
    <row r="31" spans="1:5" ht="18" customHeight="1" x14ac:dyDescent="0.35">
      <c r="A31" s="41" t="s">
        <v>87</v>
      </c>
      <c r="B31" s="42">
        <v>6.2</v>
      </c>
      <c r="C31" s="43">
        <v>30396</v>
      </c>
      <c r="D31" s="42" t="s">
        <v>118</v>
      </c>
      <c r="E31" s="42">
        <v>4896</v>
      </c>
    </row>
    <row r="32" spans="1:5" ht="18" customHeight="1" x14ac:dyDescent="0.35">
      <c r="A32" s="44" t="s">
        <v>80</v>
      </c>
      <c r="B32" s="45">
        <v>9.3000000000000007</v>
      </c>
      <c r="C32" s="46">
        <v>24874</v>
      </c>
      <c r="D32" s="45" t="s">
        <v>118</v>
      </c>
      <c r="E32" s="45">
        <v>2672</v>
      </c>
    </row>
    <row r="33" spans="1:6" ht="18" customHeight="1" x14ac:dyDescent="0.35">
      <c r="A33" s="25" t="s">
        <v>91</v>
      </c>
      <c r="B33" s="26">
        <v>4.7</v>
      </c>
      <c r="C33" s="47">
        <v>23737</v>
      </c>
      <c r="D33" s="26" t="s">
        <v>116</v>
      </c>
      <c r="E33" s="26">
        <v>5045</v>
      </c>
    </row>
    <row r="34" spans="1:6" ht="18" customHeight="1" x14ac:dyDescent="0.35">
      <c r="A34" s="44" t="s">
        <v>90</v>
      </c>
      <c r="B34" s="45">
        <v>5</v>
      </c>
      <c r="C34" s="46">
        <v>23596</v>
      </c>
      <c r="D34" s="45" t="s">
        <v>118</v>
      </c>
      <c r="E34" s="45">
        <v>4719</v>
      </c>
    </row>
    <row r="35" spans="1:6" ht="18" customHeight="1" x14ac:dyDescent="0.35">
      <c r="A35" s="41" t="s">
        <v>88</v>
      </c>
      <c r="B35" s="42">
        <v>6.2</v>
      </c>
      <c r="C35" s="43">
        <v>17137</v>
      </c>
      <c r="D35" s="42" t="s">
        <v>118</v>
      </c>
      <c r="E35" s="42">
        <v>2772</v>
      </c>
    </row>
    <row r="36" spans="1:6" ht="18" customHeight="1" x14ac:dyDescent="0.35">
      <c r="A36" s="25" t="s">
        <v>101</v>
      </c>
      <c r="B36" s="26">
        <v>3.4</v>
      </c>
      <c r="C36" s="47">
        <v>8318</v>
      </c>
      <c r="D36" s="26" t="s">
        <v>116</v>
      </c>
      <c r="E36" s="26">
        <v>2473</v>
      </c>
    </row>
    <row r="37" spans="1:6" ht="18" customHeight="1" x14ac:dyDescent="0.35">
      <c r="A37" s="25" t="s">
        <v>103</v>
      </c>
      <c r="B37" s="26">
        <v>2</v>
      </c>
      <c r="C37" s="47">
        <v>7917</v>
      </c>
      <c r="D37" s="26" t="s">
        <v>116</v>
      </c>
      <c r="E37" s="26">
        <v>3958</v>
      </c>
    </row>
    <row r="39" spans="1:6" ht="30" customHeight="1" x14ac:dyDescent="0.35">
      <c r="A39" s="3" t="s">
        <v>125</v>
      </c>
      <c r="B39" s="3"/>
      <c r="C39" s="3"/>
      <c r="D39" s="3"/>
      <c r="E39" s="3"/>
      <c r="F39" s="3"/>
    </row>
  </sheetData>
  <mergeCells count="3">
    <mergeCell ref="A1:F1"/>
    <mergeCell ref="A2:F2"/>
    <mergeCell ref="A39:F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7" customWidth="1"/>
    <col min="2" max="2" width="30" customWidth="1"/>
    <col min="3" max="3" width="18" customWidth="1"/>
    <col min="4" max="4" width="12" customWidth="1"/>
    <col min="5" max="5" width="14" customWidth="1"/>
  </cols>
  <sheetData>
    <row r="1" spans="1:5" ht="39.75" customHeight="1" x14ac:dyDescent="0.35">
      <c r="A1" s="6" t="s">
        <v>126</v>
      </c>
      <c r="B1" s="6"/>
      <c r="C1" s="6"/>
      <c r="D1" s="6"/>
      <c r="E1" s="6"/>
    </row>
    <row r="2" spans="1:5" ht="9.75" customHeight="1" x14ac:dyDescent="0.35"/>
    <row r="3" spans="1:5" ht="21.75" customHeight="1" x14ac:dyDescent="0.35">
      <c r="A3" s="21" t="s">
        <v>127</v>
      </c>
      <c r="B3" s="21" t="s">
        <v>61</v>
      </c>
      <c r="C3" s="21" t="s">
        <v>128</v>
      </c>
      <c r="D3" s="21" t="s">
        <v>62</v>
      </c>
      <c r="E3" s="21" t="s">
        <v>129</v>
      </c>
    </row>
    <row r="4" spans="1:5" ht="18" customHeight="1" x14ac:dyDescent="0.35">
      <c r="A4" s="48">
        <v>1</v>
      </c>
      <c r="B4" s="49" t="s">
        <v>95</v>
      </c>
      <c r="C4" s="50">
        <v>100487</v>
      </c>
      <c r="D4" s="51">
        <v>82</v>
      </c>
      <c r="E4" s="51">
        <v>1</v>
      </c>
    </row>
    <row r="5" spans="1:5" ht="18" customHeight="1" x14ac:dyDescent="0.35">
      <c r="A5" s="48">
        <v>2</v>
      </c>
      <c r="B5" s="49" t="s">
        <v>97</v>
      </c>
      <c r="C5" s="50">
        <v>47789</v>
      </c>
      <c r="D5" s="51">
        <v>164</v>
      </c>
      <c r="E5" s="51">
        <v>2</v>
      </c>
    </row>
    <row r="6" spans="1:5" ht="18" customHeight="1" x14ac:dyDescent="0.35">
      <c r="A6" s="52">
        <v>3</v>
      </c>
      <c r="B6" s="53" t="s">
        <v>76</v>
      </c>
      <c r="C6" s="54">
        <v>45912</v>
      </c>
      <c r="D6" s="39">
        <v>40</v>
      </c>
      <c r="E6" s="39">
        <v>3</v>
      </c>
    </row>
    <row r="7" spans="1:5" ht="18" customHeight="1" x14ac:dyDescent="0.35">
      <c r="A7" s="52">
        <v>4</v>
      </c>
      <c r="B7" s="53" t="s">
        <v>77</v>
      </c>
      <c r="C7" s="54">
        <v>45680</v>
      </c>
      <c r="D7" s="39">
        <v>128</v>
      </c>
      <c r="E7" s="39">
        <v>4</v>
      </c>
    </row>
    <row r="8" spans="1:5" ht="18" customHeight="1" x14ac:dyDescent="0.35">
      <c r="A8" s="52">
        <v>5</v>
      </c>
      <c r="B8" s="53" t="s">
        <v>70</v>
      </c>
      <c r="C8" s="54">
        <v>44300</v>
      </c>
      <c r="D8" s="39">
        <v>28</v>
      </c>
      <c r="E8" s="39">
        <v>5</v>
      </c>
    </row>
    <row r="9" spans="1:5" ht="18" customHeight="1" x14ac:dyDescent="0.35">
      <c r="A9" s="52">
        <v>6</v>
      </c>
      <c r="B9" s="53" t="s">
        <v>79</v>
      </c>
      <c r="C9" s="54">
        <v>43819</v>
      </c>
      <c r="D9" s="39">
        <v>36</v>
      </c>
      <c r="E9" s="39">
        <v>6</v>
      </c>
    </row>
    <row r="10" spans="1:5" ht="18" customHeight="1" x14ac:dyDescent="0.35">
      <c r="A10" s="48">
        <v>7</v>
      </c>
      <c r="B10" s="49" t="s">
        <v>94</v>
      </c>
      <c r="C10" s="50">
        <v>41916</v>
      </c>
      <c r="D10" s="51">
        <v>239</v>
      </c>
      <c r="E10" s="51">
        <v>7</v>
      </c>
    </row>
    <row r="11" spans="1:5" ht="18" customHeight="1" x14ac:dyDescent="0.35">
      <c r="A11" s="48">
        <v>8</v>
      </c>
      <c r="B11" s="49" t="s">
        <v>98</v>
      </c>
      <c r="C11" s="50">
        <v>40765</v>
      </c>
      <c r="D11" s="51">
        <v>22</v>
      </c>
      <c r="E11" s="51">
        <v>8</v>
      </c>
    </row>
    <row r="12" spans="1:5" ht="18" customHeight="1" x14ac:dyDescent="0.35">
      <c r="A12" s="48">
        <v>9</v>
      </c>
      <c r="B12" s="49" t="s">
        <v>82</v>
      </c>
      <c r="C12" s="50">
        <v>40763</v>
      </c>
      <c r="D12" s="51">
        <v>92</v>
      </c>
      <c r="E12" s="51">
        <v>9</v>
      </c>
    </row>
    <row r="13" spans="1:5" ht="18" customHeight="1" x14ac:dyDescent="0.35">
      <c r="A13" s="48">
        <v>10</v>
      </c>
      <c r="B13" s="49" t="s">
        <v>99</v>
      </c>
      <c r="C13" s="55">
        <v>37641</v>
      </c>
      <c r="D13" s="51">
        <v>34</v>
      </c>
      <c r="E13" s="51">
        <v>10</v>
      </c>
    </row>
    <row r="14" spans="1:5" ht="18" customHeight="1" x14ac:dyDescent="0.35">
      <c r="A14" s="56">
        <v>11</v>
      </c>
      <c r="B14" s="57" t="s">
        <v>74</v>
      </c>
      <c r="C14" s="58">
        <v>36832</v>
      </c>
      <c r="D14" s="45">
        <v>132</v>
      </c>
      <c r="E14" s="45">
        <v>11</v>
      </c>
    </row>
    <row r="15" spans="1:5" ht="18" customHeight="1" x14ac:dyDescent="0.35">
      <c r="A15" s="59">
        <v>12</v>
      </c>
      <c r="B15" s="60" t="s">
        <v>78</v>
      </c>
      <c r="C15" s="61">
        <v>35136</v>
      </c>
      <c r="D15" s="42">
        <v>87</v>
      </c>
      <c r="E15" s="42">
        <v>12</v>
      </c>
    </row>
    <row r="16" spans="1:5" ht="18" customHeight="1" x14ac:dyDescent="0.35">
      <c r="A16" s="56">
        <v>13</v>
      </c>
      <c r="B16" s="57" t="s">
        <v>69</v>
      </c>
      <c r="C16" s="58">
        <v>34979</v>
      </c>
      <c r="D16" s="45">
        <v>33</v>
      </c>
      <c r="E16" s="45">
        <v>13</v>
      </c>
    </row>
    <row r="17" spans="1:5" ht="18" customHeight="1" x14ac:dyDescent="0.35">
      <c r="A17" s="59">
        <v>14</v>
      </c>
      <c r="B17" s="60" t="s">
        <v>86</v>
      </c>
      <c r="C17" s="61">
        <v>34239</v>
      </c>
      <c r="D17" s="42">
        <v>71</v>
      </c>
      <c r="E17" s="42">
        <v>14</v>
      </c>
    </row>
    <row r="18" spans="1:5" ht="18" customHeight="1" x14ac:dyDescent="0.35">
      <c r="A18" s="48">
        <v>15</v>
      </c>
      <c r="B18" s="49" t="s">
        <v>96</v>
      </c>
      <c r="C18" s="55">
        <v>32552</v>
      </c>
      <c r="D18" s="51">
        <v>21</v>
      </c>
      <c r="E18" s="51">
        <v>15</v>
      </c>
    </row>
    <row r="19" spans="1:5" ht="18" customHeight="1" x14ac:dyDescent="0.35">
      <c r="A19" s="59">
        <v>16</v>
      </c>
      <c r="B19" s="60" t="s">
        <v>75</v>
      </c>
      <c r="C19" s="61">
        <v>32110</v>
      </c>
      <c r="D19" s="42">
        <v>126</v>
      </c>
      <c r="E19" s="42">
        <v>16</v>
      </c>
    </row>
    <row r="20" spans="1:5" ht="18" customHeight="1" x14ac:dyDescent="0.35">
      <c r="A20" s="52">
        <v>17</v>
      </c>
      <c r="B20" s="53" t="s">
        <v>73</v>
      </c>
      <c r="C20" s="62">
        <v>32078</v>
      </c>
      <c r="D20" s="39">
        <v>349</v>
      </c>
      <c r="E20" s="39">
        <v>17</v>
      </c>
    </row>
    <row r="21" spans="1:5" ht="18" customHeight="1" x14ac:dyDescent="0.35">
      <c r="A21" s="59">
        <v>18</v>
      </c>
      <c r="B21" s="60" t="s">
        <v>71</v>
      </c>
      <c r="C21" s="61">
        <v>30526</v>
      </c>
      <c r="D21" s="42">
        <v>676</v>
      </c>
      <c r="E21" s="42">
        <v>18</v>
      </c>
    </row>
    <row r="22" spans="1:5" ht="18" customHeight="1" x14ac:dyDescent="0.35">
      <c r="A22" s="56">
        <v>19</v>
      </c>
      <c r="B22" s="57" t="s">
        <v>80</v>
      </c>
      <c r="C22" s="58">
        <v>28882</v>
      </c>
      <c r="D22" s="45">
        <v>57</v>
      </c>
      <c r="E22" s="45">
        <v>19</v>
      </c>
    </row>
    <row r="23" spans="1:5" ht="18" customHeight="1" x14ac:dyDescent="0.35">
      <c r="A23" s="52">
        <v>20</v>
      </c>
      <c r="B23" s="53" t="s">
        <v>81</v>
      </c>
      <c r="C23" s="62">
        <v>27310</v>
      </c>
      <c r="D23" s="39">
        <v>523</v>
      </c>
      <c r="E23" s="39">
        <v>20</v>
      </c>
    </row>
    <row r="24" spans="1:5" ht="18" customHeight="1" x14ac:dyDescent="0.35">
      <c r="A24" s="63">
        <v>21</v>
      </c>
      <c r="B24" s="64" t="s">
        <v>100</v>
      </c>
      <c r="C24" s="65">
        <v>26207</v>
      </c>
      <c r="D24" s="66">
        <v>64</v>
      </c>
      <c r="E24" s="66">
        <v>21</v>
      </c>
    </row>
    <row r="25" spans="1:5" ht="18" customHeight="1" x14ac:dyDescent="0.35">
      <c r="A25" s="48">
        <v>22</v>
      </c>
      <c r="B25" s="49" t="s">
        <v>83</v>
      </c>
      <c r="C25" s="55">
        <v>26054</v>
      </c>
      <c r="D25" s="51">
        <v>368</v>
      </c>
      <c r="E25" s="51">
        <v>22</v>
      </c>
    </row>
    <row r="26" spans="1:5" ht="18" customHeight="1" x14ac:dyDescent="0.35">
      <c r="A26" s="48">
        <v>23</v>
      </c>
      <c r="B26" s="49" t="s">
        <v>85</v>
      </c>
      <c r="C26" s="55">
        <v>25957</v>
      </c>
      <c r="D26" s="51">
        <v>40</v>
      </c>
      <c r="E26" s="51">
        <v>23</v>
      </c>
    </row>
    <row r="27" spans="1:5" ht="18" customHeight="1" x14ac:dyDescent="0.35">
      <c r="A27" s="59">
        <v>24</v>
      </c>
      <c r="B27" s="60" t="s">
        <v>87</v>
      </c>
      <c r="C27" s="61">
        <v>23615</v>
      </c>
      <c r="D27" s="42">
        <v>137</v>
      </c>
      <c r="E27" s="42">
        <v>24</v>
      </c>
    </row>
    <row r="28" spans="1:5" ht="18" customHeight="1" x14ac:dyDescent="0.35">
      <c r="A28" s="56">
        <v>25</v>
      </c>
      <c r="B28" s="57" t="s">
        <v>90</v>
      </c>
      <c r="C28" s="58">
        <v>21671</v>
      </c>
      <c r="D28" s="45">
        <v>55</v>
      </c>
      <c r="E28" s="45">
        <v>25</v>
      </c>
    </row>
    <row r="29" spans="1:5" ht="18" customHeight="1" x14ac:dyDescent="0.35">
      <c r="A29" s="59">
        <v>26</v>
      </c>
      <c r="B29" s="60" t="s">
        <v>67</v>
      </c>
      <c r="C29" s="61">
        <v>21457</v>
      </c>
      <c r="D29" s="42">
        <v>28</v>
      </c>
      <c r="E29" s="42">
        <v>26</v>
      </c>
    </row>
    <row r="30" spans="1:5" ht="18" customHeight="1" x14ac:dyDescent="0.35">
      <c r="A30" s="63">
        <v>27</v>
      </c>
      <c r="B30" s="64" t="s">
        <v>93</v>
      </c>
      <c r="C30" s="65">
        <v>20296</v>
      </c>
      <c r="D30" s="66">
        <v>300</v>
      </c>
      <c r="E30" s="66">
        <v>27</v>
      </c>
    </row>
    <row r="31" spans="1:5" ht="18" customHeight="1" x14ac:dyDescent="0.35">
      <c r="A31" s="48">
        <v>28</v>
      </c>
      <c r="B31" s="49" t="s">
        <v>102</v>
      </c>
      <c r="C31" s="67">
        <v>19964</v>
      </c>
      <c r="D31" s="51">
        <v>417</v>
      </c>
      <c r="E31" s="51">
        <v>28</v>
      </c>
    </row>
    <row r="32" spans="1:5" ht="18" customHeight="1" x14ac:dyDescent="0.35">
      <c r="A32" s="56">
        <v>29</v>
      </c>
      <c r="B32" s="57" t="s">
        <v>89</v>
      </c>
      <c r="C32" s="68">
        <v>19117</v>
      </c>
      <c r="D32" s="45">
        <v>564</v>
      </c>
      <c r="E32" s="45">
        <v>29</v>
      </c>
    </row>
    <row r="33" spans="1:5" ht="18" customHeight="1" x14ac:dyDescent="0.35">
      <c r="A33" s="59">
        <v>30</v>
      </c>
      <c r="B33" s="60" t="s">
        <v>88</v>
      </c>
      <c r="C33" s="69">
        <v>18022</v>
      </c>
      <c r="D33" s="42">
        <v>51</v>
      </c>
      <c r="E33" s="42">
        <v>30</v>
      </c>
    </row>
    <row r="34" spans="1:5" ht="18" customHeight="1" x14ac:dyDescent="0.35">
      <c r="A34" s="63">
        <v>31</v>
      </c>
      <c r="B34" s="64" t="s">
        <v>103</v>
      </c>
      <c r="C34" s="70">
        <v>16335</v>
      </c>
      <c r="D34" s="66">
        <v>54</v>
      </c>
      <c r="E34" s="66">
        <v>31</v>
      </c>
    </row>
    <row r="35" spans="1:5" ht="18" customHeight="1" x14ac:dyDescent="0.35">
      <c r="A35" s="63">
        <v>32</v>
      </c>
      <c r="B35" s="64" t="s">
        <v>91</v>
      </c>
      <c r="C35" s="70">
        <v>14002</v>
      </c>
      <c r="D35" s="66">
        <v>507</v>
      </c>
      <c r="E35" s="66">
        <v>32</v>
      </c>
    </row>
    <row r="37" spans="1:5" ht="49.5" customHeight="1" x14ac:dyDescent="0.35">
      <c r="A37" s="5" t="s">
        <v>130</v>
      </c>
      <c r="B37" s="5"/>
      <c r="C37" s="5"/>
      <c r="D37" s="5"/>
      <c r="E37" s="5"/>
    </row>
  </sheetData>
  <mergeCells count="2">
    <mergeCell ref="A1:E1"/>
    <mergeCell ref="A37:E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showGridLines="0" tabSelected="1" zoomScale="84" zoomScaleNormal="84" workbookViewId="0">
      <selection activeCell="E14" sqref="E14"/>
    </sheetView>
  </sheetViews>
  <sheetFormatPr defaultColWidth="8.6328125" defaultRowHeight="14.5" x14ac:dyDescent="0.35"/>
  <cols>
    <col min="1" max="1" width="26" customWidth="1"/>
    <col min="2" max="2" width="22" customWidth="1"/>
    <col min="3" max="4" width="14" customWidth="1"/>
  </cols>
  <sheetData>
    <row r="1" spans="1:3" ht="39.75" customHeight="1" x14ac:dyDescent="0.35">
      <c r="A1" s="2" t="s">
        <v>131</v>
      </c>
      <c r="B1" s="2"/>
      <c r="C1" s="2"/>
    </row>
    <row r="2" spans="1:3" ht="18" customHeight="1" x14ac:dyDescent="0.35">
      <c r="A2" s="4" t="s">
        <v>132</v>
      </c>
      <c r="B2" s="4"/>
      <c r="C2" s="4"/>
    </row>
    <row r="3" spans="1:3" ht="9.75" customHeight="1" x14ac:dyDescent="0.35"/>
    <row r="4" spans="1:3" ht="22" customHeight="1" x14ac:dyDescent="0.35">
      <c r="A4" s="71" t="s">
        <v>133</v>
      </c>
      <c r="B4" s="72" t="s">
        <v>95</v>
      </c>
    </row>
    <row r="5" spans="1:3" ht="9.75" customHeight="1" x14ac:dyDescent="0.35"/>
    <row r="6" spans="1:3" ht="24" customHeight="1" x14ac:dyDescent="0.35">
      <c r="A6" s="73" t="s">
        <v>128</v>
      </c>
      <c r="B6" s="74">
        <f>IFERROR(INDEX(Data_Q8!C:C,MATCH(B4,Data_Q8!A:A,0)),"Not found")</f>
        <v>80655</v>
      </c>
    </row>
    <row r="7" spans="1:3" ht="24" customHeight="1" x14ac:dyDescent="0.35">
      <c r="A7" s="73" t="s">
        <v>62</v>
      </c>
      <c r="B7" s="75">
        <f>IFERROR(INDEX(Data_Q8!B:B,MATCH(B4,Data_Q8!A:A,0)),"Not found")</f>
        <v>29</v>
      </c>
    </row>
    <row r="8" spans="1:3" ht="24" customHeight="1" x14ac:dyDescent="0.35">
      <c r="A8" s="73" t="s">
        <v>134</v>
      </c>
      <c r="B8" s="76">
        <f>IFERROR(INDEX(Data_Q8!D:D,MATCH(B4,Data_Q8!A:A,0)),"Not found")</f>
        <v>4.2</v>
      </c>
    </row>
    <row r="9" spans="1:3" ht="24" customHeight="1" x14ac:dyDescent="0.35">
      <c r="A9" s="73" t="s">
        <v>135</v>
      </c>
      <c r="B9" s="75">
        <f>IFERROR(INDEX(Data_Q8!E:E,MATCH(B4,Data_Q8!A:A,0)),"Not found")</f>
        <v>19331</v>
      </c>
    </row>
    <row r="10" spans="1:3" ht="24" customHeight="1" x14ac:dyDescent="0.35">
      <c r="A10" s="73" t="s">
        <v>123</v>
      </c>
      <c r="B10" s="77" t="str">
        <f>IFERROR(INDEX(Data_Q8!F:F,MATCH(B4,Data_Q8!A:A,0)),"Not found")</f>
        <v>Sweet Spot</v>
      </c>
    </row>
    <row r="11" spans="1:3" ht="24" customHeight="1" x14ac:dyDescent="0.35">
      <c r="A11" s="73" t="s">
        <v>136</v>
      </c>
      <c r="B11" s="75">
        <f>IFERROR(INDEX(Data_Q6!E:E,MATCH(B4,Data_Q6!A:A,0)),"Not found")</f>
        <v>1</v>
      </c>
    </row>
    <row r="12" spans="1:3" ht="24" customHeight="1" x14ac:dyDescent="0.35">
      <c r="A12" s="73" t="s">
        <v>137</v>
      </c>
      <c r="B12" s="74">
        <f>IFERROR(AVERAGE(Data_Q8!C2:C34),"Not found")</f>
        <v>39152.393939393936</v>
      </c>
    </row>
    <row r="13" spans="1:3" ht="24" customHeight="1" x14ac:dyDescent="0.35">
      <c r="A13" s="73" t="s">
        <v>138</v>
      </c>
      <c r="B13" s="78">
        <f>IFERROR(INDEX(Data_Q8!C:C,MATCH(B4,Data_Q8!A:A,0))-AVERAGE(Data_Q8!C2:C34),"Not found")</f>
        <v>41502.606060606064</v>
      </c>
    </row>
    <row r="15" spans="1:3" ht="9.75" customHeight="1" x14ac:dyDescent="0.35"/>
    <row r="16" spans="1:3" ht="19.5" customHeight="1" x14ac:dyDescent="0.35">
      <c r="A16" s="1" t="s">
        <v>139</v>
      </c>
      <c r="B16" s="1"/>
      <c r="C16" s="1"/>
    </row>
    <row r="17" spans="1:4" ht="19.5" customHeight="1" x14ac:dyDescent="0.35">
      <c r="A17" s="79" t="s">
        <v>115</v>
      </c>
      <c r="B17" s="80" t="s">
        <v>117</v>
      </c>
      <c r="C17" s="81" t="s">
        <v>116</v>
      </c>
      <c r="D17" s="82" t="s">
        <v>118</v>
      </c>
    </row>
  </sheetData>
  <mergeCells count="3">
    <mergeCell ref="A1:C1"/>
    <mergeCell ref="A2:C2"/>
    <mergeCell ref="A16:C1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Data_Q8!$A$2:$A$34</xm:f>
          </x14:formula1>
          <x14:formula2>
            <xm:f>0</xm:f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Competition Analysis</vt:lpstr>
      <vt:lpstr>Data_Q7</vt:lpstr>
      <vt:lpstr>Data_Q6</vt:lpstr>
      <vt:lpstr>Data_Q8</vt:lpstr>
      <vt:lpstr>Opportunity Map</vt:lpstr>
      <vt:lpstr>Domain Analysis</vt:lpstr>
      <vt:lpstr>Domain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2026-07-21T09:16:50Z</dcterms:created>
  <dcterms:modified xsi:type="dcterms:W3CDTF">2026-07-21T09:42:50Z</dcterms:modified>
  <dc:language>en-US</dc:language>
</cp:coreProperties>
</file>